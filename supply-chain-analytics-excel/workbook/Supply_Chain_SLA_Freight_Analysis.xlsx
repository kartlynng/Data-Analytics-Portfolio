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a485a1b5a1a206e6/Desktop/supply-chain-analytics-excel/workbook/"/>
    </mc:Choice>
  </mc:AlternateContent>
  <xr:revisionPtr revIDLastSave="5581" documentId="11_F25DC773A252ABDACC104899F9587D085ADE58EF" xr6:coauthVersionLast="47" xr6:coauthVersionMax="47" xr10:uidLastSave="{FB131C05-31CB-449C-A268-34C216F59D18}"/>
  <bookViews>
    <workbookView minimized="1" xWindow="3490" yWindow="2010" windowWidth="14400" windowHeight="8180" xr2:uid="{00000000-000D-0000-FFFF-FFFF00000000}"/>
  </bookViews>
  <sheets>
    <sheet name="Overview" sheetId="10" r:id="rId1"/>
    <sheet name="Detail" sheetId="6" r:id="rId2"/>
    <sheet name="Helper" sheetId="12" r:id="rId3"/>
    <sheet name="Scenario_Analysis" sheetId="7" r:id="rId4"/>
    <sheet name="Assumptions" sheetId="1" r:id="rId5"/>
    <sheet name="raw_Carriers" sheetId="2" state="hidden" r:id="rId6"/>
    <sheet name="raw_Warehouses" sheetId="3" state="hidden" r:id="rId7"/>
    <sheet name="raw_Shipments" sheetId="4" state="hidden" r:id="rId8"/>
    <sheet name="scratch" sheetId="5" state="hidden" r:id="rId9"/>
  </sheets>
  <definedNames>
    <definedName name="_xlnm.Print_Area" localSheetId="0">Overview!$A$1:$U$110</definedName>
    <definedName name="SLA_Target">Assumptions!$C$4</definedName>
    <definedName name="Slicer_Area">#N/A</definedName>
    <definedName name="Slicer_Carrier_Name">#N/A</definedName>
    <definedName name="Slicer_Order_Date__Month">#N/A</definedName>
    <definedName name="Slicer_Order_Date__Year">#N/A</definedName>
    <definedName name="Slicer_Priority">#N/A</definedName>
    <definedName name="Slicer_Region">#N/A</definedName>
    <definedName name="Slicer_Timeline">#N/A</definedName>
  </definedNames>
  <calcPr calcId="191029"/>
  <pivotCaches>
    <pivotCache cacheId="0" r:id="rId10"/>
    <pivotCache cacheId="774" r:id="rId11"/>
    <pivotCache cacheId="942" r:id="rId12"/>
    <pivotCache cacheId="945" r:id="rId13"/>
    <pivotCache cacheId="948" r:id="rId14"/>
    <pivotCache cacheId="951" r:id="rId15"/>
    <pivotCache cacheId="954" r:id="rId16"/>
  </pivotCaches>
  <extLst>
    <ext xmlns:x14="http://schemas.microsoft.com/office/spreadsheetml/2009/9/main" uri="{876F7934-8845-4945-9796-88D515C7AA90}">
      <x14:pivotCaches>
        <pivotCache cacheId="7" r:id="rId17"/>
        <pivotCache cacheId="8"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3"/>
        <x14:slicerCache r:id="rId24"/>
        <x14:slicerCache r:id="rId25"/>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arriers_2aede7ea-9d1e-4468-9ab2-1623f12be4e6" name="dim_Carriers" connection="Query - dim_Carriers"/>
          <x15:modelTable id="dim_Warehouses_60345807-b084-43b8-98ff-5980a563bb3c" name="dim_Warehouses" connection="Query - dim_Warehouses"/>
          <x15:modelTable id="fct_Shipments_3b136028-c340-4f53-80f4-d8cf235d1891" name="fct_Shipments" connection="Query - fct_Shipments"/>
        </x15:modelTables>
        <x15:modelRelationships>
          <x15:modelRelationship fromTable="fct_Shipments" fromColumn="Warehouse_ID" toTable="dim_Warehouses" toColumn="Warehouse_ID"/>
          <x15:modelRelationship fromTable="fct_Shipments" fromColumn="Carrier_ID" toTable="dim_Carriers" toColumn="Carrier_ID"/>
        </x15:modelRelationships>
        <x15:extLst>
          <ext xmlns:x16="http://schemas.microsoft.com/office/spreadsheetml/2014/11/main" uri="{9835A34E-60A6-4A7C-AAB8-D5F71C897F49}">
            <x16:modelTimeGroupings>
              <x16:modelTimeGrouping tableName="fct_Shipments" columnName="Order_Month" columnId="Order_Month">
                <x16:calculatedTimeColumn columnName="Order_Month (Year)" columnId="Order_Month (Year)" contentType="years" isSelected="1"/>
                <x16:calculatedTimeColumn columnName="Order_Month (Quarter)" columnId="Order_Month (Quarter)" contentType="quarters" isSelected="1"/>
                <x16:calculatedTimeColumn columnName="Order_Month (Month Index)" columnId="Order_Month (Month Index)" contentType="monthsindex" isSelected="1"/>
                <x16:calculatedTimeColumn columnName="Order_Month (Month)" columnId="Order_Month (Month)" contentType="months" isSelected="1"/>
              </x16:modelTimeGrouping>
              <x16:modelTimeGrouping tableName="fct_Shipments" columnName="Order_Date" columnId="Order_Date">
                <x16:calculatedTimeColumn columnName="Order_Date (Year)" columnId="Order_Date (Year)" contentType="years" isSelected="1"/>
                <x16:calculatedTimeColumn columnName="Order_Date (Quarter)" columnId="Order_Date (Quarter)" contentType="quarters" isSelected="0"/>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12" l="1"/>
  <c r="D107" i="12"/>
  <c r="D106" i="12"/>
  <c r="D105" i="12"/>
  <c r="D104" i="12"/>
  <c r="D103" i="12"/>
  <c r="C107" i="12"/>
  <c r="C106" i="12"/>
  <c r="C105" i="12"/>
  <c r="C104" i="12"/>
  <c r="C103" i="12"/>
  <c r="T8" i="10"/>
  <c r="O8" i="10"/>
  <c r="J8" i="10"/>
  <c r="B8" i="10"/>
  <c r="L5" i="7"/>
  <c r="C7" i="7" a="1"/>
  <c r="C7" i="7" s="1"/>
  <c r="C8" i="7" s="1"/>
  <c r="I4" i="7" s="1"/>
  <c r="C5" i="7" a="1"/>
  <c r="C5" i="7" s="1"/>
  <c r="C6" i="7" s="1"/>
  <c r="C9" i="7" s="1"/>
  <c r="J4" i="7" s="1"/>
  <c r="C20" i="7"/>
  <c r="D53" i="12"/>
  <c r="D52" i="12"/>
  <c r="D51" i="12"/>
  <c r="D50" i="12"/>
  <c r="C93" i="12"/>
  <c r="C92" i="12"/>
  <c r="C91" i="12"/>
  <c r="C90" i="12"/>
  <c r="C89" i="12"/>
  <c r="C88" i="12"/>
  <c r="E69" i="12"/>
  <c r="E70" i="12"/>
  <c r="E71" i="12"/>
  <c r="E72" i="12"/>
  <c r="E73" i="12"/>
  <c r="E74" i="12"/>
  <c r="D69" i="12"/>
  <c r="D70" i="12"/>
  <c r="D71" i="12"/>
  <c r="D72" i="12"/>
  <c r="D73" i="12"/>
  <c r="D74" i="12"/>
  <c r="C69" i="12"/>
  <c r="C70" i="12"/>
  <c r="C71" i="12"/>
  <c r="C72" i="12"/>
  <c r="C73" i="12"/>
  <c r="C74" i="12"/>
  <c r="C24" i="12"/>
  <c r="C22" i="12"/>
  <c r="C20" i="12"/>
  <c r="C23" i="12"/>
  <c r="C14" i="12"/>
  <c r="C13" i="12"/>
  <c r="C12" i="12"/>
  <c r="C11" i="12"/>
  <c r="C10" i="12"/>
  <c r="C9" i="12"/>
  <c r="D21" i="12"/>
  <c r="C8" i="12"/>
  <c r="D20" i="12"/>
  <c r="C7" i="12"/>
  <c r="D24" i="12"/>
  <c r="C6" i="12"/>
  <c r="D22" i="12"/>
  <c r="C5" i="12"/>
  <c r="D23" i="12"/>
  <c r="C4" i="12"/>
  <c r="C21" i="12"/>
  <c r="C3" i="12"/>
  <c r="C53" i="12"/>
  <c r="C52" i="12"/>
  <c r="C51" i="12"/>
  <c r="C50" i="12"/>
  <c r="E40" i="12" l="1" a="1"/>
  <c r="E40" i="12" s="1"/>
  <c r="C35" i="12"/>
  <c r="E35" i="12"/>
  <c r="C37" i="12"/>
  <c r="B42" i="12" s="1"/>
  <c r="F4" i="7"/>
  <c r="G4" i="7"/>
  <c r="H4" i="7"/>
  <c r="C36" i="12" l="1"/>
  <c r="B40" i="12" s="1"/>
  <c r="B46" i="12"/>
  <c r="B44"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EDBD37-606C-4842-A5CF-81360EAF56B1}" name="Query - dim_Carriers" description="Connection to the 'dim_Carriers' query in the workbook." type="100" refreshedVersion="8" minRefreshableVersion="5">
    <extLst>
      <ext xmlns:x15="http://schemas.microsoft.com/office/spreadsheetml/2010/11/main" uri="{DE250136-89BD-433C-8126-D09CA5730AF9}">
        <x15:connection id="7bcedfde-c246-4c23-8858-c8345ae4ef63"/>
      </ext>
    </extLst>
  </connection>
  <connection id="2" xr16:uid="{DE5BAA8C-EFAF-4B96-BD9C-E8F70662ADBE}" name="Query - dim_Warehouses" description="Connection to the 'dim_Warehouses' query in the workbook." type="100" refreshedVersion="8" minRefreshableVersion="5">
    <extLst>
      <ext xmlns:x15="http://schemas.microsoft.com/office/spreadsheetml/2010/11/main" uri="{DE250136-89BD-433C-8126-D09CA5730AF9}">
        <x15:connection id="db7d13a4-c668-4efc-afb2-f6b1a9201521"/>
      </ext>
    </extLst>
  </connection>
  <connection id="3" xr16:uid="{9074A435-ABB2-422C-B657-3005FFEFC2A4}" name="Query - fct_Shipments" description="Connection to the 'fct_Shipments' query in the workbook." type="100" refreshedVersion="8" minRefreshableVersion="5">
    <extLst>
      <ext xmlns:x15="http://schemas.microsoft.com/office/spreadsheetml/2010/11/main" uri="{DE250136-89BD-433C-8126-D09CA5730AF9}">
        <x15:connection id="63a0c22b-2c19-446d-a049-edfbfb0c4e42"/>
      </ext>
    </extLst>
  </connection>
  <connection id="4" xr16:uid="{ED3CC013-EC67-46F8-9FEE-B7BC58BCFFC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<sst xmlns="http://schemas.openxmlformats.org/spreadsheetml/2006/main" count="3257" uniqueCount="1178">
  <si>
    <t>Carrier_ID</t>
  </si>
  <si>
    <t>Carrier_Name</t>
  </si>
  <si>
    <t>SLA_Target_Days</t>
  </si>
  <si>
    <t>Base_Cost_Per_Shipment</t>
  </si>
  <si>
    <t>CR-101</t>
  </si>
  <si>
    <t>Swift Express</t>
  </si>
  <si>
    <t>CR-102</t>
  </si>
  <si>
    <t>Apex Freight</t>
  </si>
  <si>
    <t>CR-103</t>
  </si>
  <si>
    <t>FreightPulse</t>
  </si>
  <si>
    <t>CR-104</t>
  </si>
  <si>
    <t>RailLink Logistics</t>
  </si>
  <si>
    <t>CR-105</t>
  </si>
  <si>
    <t>Velocity Transport</t>
  </si>
  <si>
    <t>Warehouse_ID</t>
  </si>
  <si>
    <t>Warehouse_Name</t>
  </si>
  <si>
    <t>Region</t>
  </si>
  <si>
    <t>Max_Capacity_Units</t>
  </si>
  <si>
    <t>Handling_Cost_Per_Unit</t>
  </si>
  <si>
    <t>WH-001</t>
  </si>
  <si>
    <t>Newark Distribution Center</t>
  </si>
  <si>
    <t>US-East</t>
  </si>
  <si>
    <t>WH-002</t>
  </si>
  <si>
    <t>Atlanta Fulfillment Hub</t>
  </si>
  <si>
    <t>US-South</t>
  </si>
  <si>
    <t>WH-003</t>
  </si>
  <si>
    <t>Columbus Regional Depot</t>
  </si>
  <si>
    <t>US-Central</t>
  </si>
  <si>
    <t>WH-004</t>
  </si>
  <si>
    <t>Reno Cross-Dock Facility</t>
  </si>
  <si>
    <t>US-West</t>
  </si>
  <si>
    <t>WH-005</t>
  </si>
  <si>
    <t>Dallas Consolidation Center</t>
  </si>
  <si>
    <t>WH-006</t>
  </si>
  <si>
    <t>Tacoma Coastal Warehouse</t>
  </si>
  <si>
    <t>Shipment_ID</t>
  </si>
  <si>
    <t>Order_Date</t>
  </si>
  <si>
    <t>Promised_Ship_Date</t>
  </si>
  <si>
    <t>Actual_Ship_Date</t>
  </si>
  <si>
    <t>Shipment_Weight_Lbs</t>
  </si>
  <si>
    <t>Freight_Cost</t>
  </si>
  <si>
    <t>SHP-10001</t>
  </si>
  <si>
    <t>SHP-10002</t>
  </si>
  <si>
    <t>SHP-10003</t>
  </si>
  <si>
    <t>SHP-10004</t>
  </si>
  <si>
    <t>SHP-10005</t>
  </si>
  <si>
    <t>SHP-10006</t>
  </si>
  <si>
    <t>SHP-10007</t>
  </si>
  <si>
    <t>SHP-10008</t>
  </si>
  <si>
    <t>SHP-10009</t>
  </si>
  <si>
    <t>SHP-10010</t>
  </si>
  <si>
    <t>SHP-10011</t>
  </si>
  <si>
    <t>SHP-10012</t>
  </si>
  <si>
    <t>SHP-10013</t>
  </si>
  <si>
    <t>SHP-10014</t>
  </si>
  <si>
    <t>SHP-10015</t>
  </si>
  <si>
    <t>SHP-10016</t>
  </si>
  <si>
    <t>SHP-10017</t>
  </si>
  <si>
    <t>SHP-10018</t>
  </si>
  <si>
    <t>SHP-10019</t>
  </si>
  <si>
    <t>SHP-10020</t>
  </si>
  <si>
    <t>SHP-10021</t>
  </si>
  <si>
    <t>SHP-10022</t>
  </si>
  <si>
    <t>SHP-10023</t>
  </si>
  <si>
    <t>SHP-10024</t>
  </si>
  <si>
    <t>SHP-10025</t>
  </si>
  <si>
    <t>SHP-10026</t>
  </si>
  <si>
    <t>SHP-10027</t>
  </si>
  <si>
    <t>SHP-10028</t>
  </si>
  <si>
    <t>SHP-10029</t>
  </si>
  <si>
    <t>SHP-10030</t>
  </si>
  <si>
    <t>SHP-10031</t>
  </si>
  <si>
    <t>SHP-10032</t>
  </si>
  <si>
    <t>SHP-10033</t>
  </si>
  <si>
    <t>SHP-10034</t>
  </si>
  <si>
    <t>SHP-10035</t>
  </si>
  <si>
    <t>SHP-10036</t>
  </si>
  <si>
    <t>SHP-10037</t>
  </si>
  <si>
    <t>SHP-10038</t>
  </si>
  <si>
    <t>SHP-10039</t>
  </si>
  <si>
    <t>SHP-10040</t>
  </si>
  <si>
    <t>SHP-10041</t>
  </si>
  <si>
    <t>SHP-10042</t>
  </si>
  <si>
    <t>SHP-10043</t>
  </si>
  <si>
    <t>SHP-10044</t>
  </si>
  <si>
    <t>SHP-10045</t>
  </si>
  <si>
    <t>SHP-10046</t>
  </si>
  <si>
    <t>SHP-10047</t>
  </si>
  <si>
    <t>SHP-10048</t>
  </si>
  <si>
    <t>SHP-10049</t>
  </si>
  <si>
    <t>SHP-10050</t>
  </si>
  <si>
    <t>SHP-10051</t>
  </si>
  <si>
    <t>SHP-10052</t>
  </si>
  <si>
    <t>SHP-10053</t>
  </si>
  <si>
    <t>SHP-10054</t>
  </si>
  <si>
    <t>SHP-10055</t>
  </si>
  <si>
    <t>SHP-10056</t>
  </si>
  <si>
    <t>SHP-10057</t>
  </si>
  <si>
    <t>SHP-10058</t>
  </si>
  <si>
    <t>SHP-10059</t>
  </si>
  <si>
    <t>SHP-10060</t>
  </si>
  <si>
    <t>SHP-10061</t>
  </si>
  <si>
    <t>SHP-10062</t>
  </si>
  <si>
    <t>SHP-10063</t>
  </si>
  <si>
    <t>SHP-10064</t>
  </si>
  <si>
    <t>SHP-10065</t>
  </si>
  <si>
    <t>SHP-10066</t>
  </si>
  <si>
    <t>SHP-10067</t>
  </si>
  <si>
    <t>SHP-10068</t>
  </si>
  <si>
    <t>SHP-10069</t>
  </si>
  <si>
    <t>SHP-10070</t>
  </si>
  <si>
    <t>SHP-10071</t>
  </si>
  <si>
    <t>SHP-10072</t>
  </si>
  <si>
    <t>SHP-10073</t>
  </si>
  <si>
    <t>SHP-10074</t>
  </si>
  <si>
    <t>SHP-10075</t>
  </si>
  <si>
    <t>SHP-10076</t>
  </si>
  <si>
    <t>SHP-10077</t>
  </si>
  <si>
    <t>SHP-10078</t>
  </si>
  <si>
    <t>SHP-10079</t>
  </si>
  <si>
    <t>SHP-10080</t>
  </si>
  <si>
    <t>SHP-10081</t>
  </si>
  <si>
    <t>SHP-10082</t>
  </si>
  <si>
    <t>SHP-10083</t>
  </si>
  <si>
    <t>SHP-10084</t>
  </si>
  <si>
    <t>SHP-10085</t>
  </si>
  <si>
    <t>SHP-10086</t>
  </si>
  <si>
    <t>SHP-10087</t>
  </si>
  <si>
    <t>SHP-10088</t>
  </si>
  <si>
    <t>SHP-10089</t>
  </si>
  <si>
    <t>SHP-10090</t>
  </si>
  <si>
    <t>SHP-10091</t>
  </si>
  <si>
    <t>SHP-10092</t>
  </si>
  <si>
    <t>SHP-10093</t>
  </si>
  <si>
    <t>SHP-10094</t>
  </si>
  <si>
    <t>SHP-10095</t>
  </si>
  <si>
    <t>SHP-10096</t>
  </si>
  <si>
    <t>SHP-10097</t>
  </si>
  <si>
    <t>SHP-10098</t>
  </si>
  <si>
    <t>SHP-10099</t>
  </si>
  <si>
    <t>SHP-10100</t>
  </si>
  <si>
    <t>SHP-10101</t>
  </si>
  <si>
    <t>SHP-10102</t>
  </si>
  <si>
    <t>SHP-10103</t>
  </si>
  <si>
    <t>SHP-10104</t>
  </si>
  <si>
    <t>SHP-10105</t>
  </si>
  <si>
    <t>SHP-10106</t>
  </si>
  <si>
    <t>SHP-10107</t>
  </si>
  <si>
    <t>SHP-10108</t>
  </si>
  <si>
    <t>SHP-10109</t>
  </si>
  <si>
    <t>SHP-10110</t>
  </si>
  <si>
    <t>SHP-10111</t>
  </si>
  <si>
    <t>SHP-10112</t>
  </si>
  <si>
    <t>SHP-10113</t>
  </si>
  <si>
    <t>SHP-10114</t>
  </si>
  <si>
    <t>SHP-10115</t>
  </si>
  <si>
    <t>SHP-10116</t>
  </si>
  <si>
    <t>SHP-10117</t>
  </si>
  <si>
    <t>SHP-10118</t>
  </si>
  <si>
    <t>SHP-10119</t>
  </si>
  <si>
    <t>SHP-10120</t>
  </si>
  <si>
    <t>SHP-10121</t>
  </si>
  <si>
    <t>SHP-10122</t>
  </si>
  <si>
    <t>SHP-10123</t>
  </si>
  <si>
    <t>SHP-10124</t>
  </si>
  <si>
    <t>SHP-10125</t>
  </si>
  <si>
    <t>SHP-10126</t>
  </si>
  <si>
    <t>SHP-10127</t>
  </si>
  <si>
    <t>SHP-10128</t>
  </si>
  <si>
    <t>SHP-10129</t>
  </si>
  <si>
    <t>SHP-10130</t>
  </si>
  <si>
    <t>SHP-10131</t>
  </si>
  <si>
    <t>SHP-10132</t>
  </si>
  <si>
    <t>SHP-10133</t>
  </si>
  <si>
    <t>SHP-10134</t>
  </si>
  <si>
    <t>SHP-10135</t>
  </si>
  <si>
    <t>SHP-10136</t>
  </si>
  <si>
    <t>SHP-10137</t>
  </si>
  <si>
    <t>SHP-10138</t>
  </si>
  <si>
    <t>SHP-10139</t>
  </si>
  <si>
    <t>SHP-10140</t>
  </si>
  <si>
    <t>SHP-10141</t>
  </si>
  <si>
    <t>SHP-10142</t>
  </si>
  <si>
    <t>SHP-10143</t>
  </si>
  <si>
    <t>SHP-10144</t>
  </si>
  <si>
    <t>SHP-10145</t>
  </si>
  <si>
    <t>SHP-10146</t>
  </si>
  <si>
    <t>SHP-10147</t>
  </si>
  <si>
    <t>SHP-10148</t>
  </si>
  <si>
    <t>SHP-10149</t>
  </si>
  <si>
    <t>SHP-10150</t>
  </si>
  <si>
    <t>SHP-10151</t>
  </si>
  <si>
    <t>SHP-10152</t>
  </si>
  <si>
    <t>SHP-10153</t>
  </si>
  <si>
    <t>SHP-10154</t>
  </si>
  <si>
    <t>SHP-10155</t>
  </si>
  <si>
    <t>SHP-10156</t>
  </si>
  <si>
    <t>SHP-10157</t>
  </si>
  <si>
    <t>SHP-10158</t>
  </si>
  <si>
    <t>SHP-10159</t>
  </si>
  <si>
    <t>SHP-10160</t>
  </si>
  <si>
    <t>SHP-10161</t>
  </si>
  <si>
    <t>SHP-10162</t>
  </si>
  <si>
    <t>SHP-10163</t>
  </si>
  <si>
    <t>SHP-10164</t>
  </si>
  <si>
    <t>SHP-10165</t>
  </si>
  <si>
    <t>SHP-10166</t>
  </si>
  <si>
    <t>SHP-10167</t>
  </si>
  <si>
    <t>SHP-10168</t>
  </si>
  <si>
    <t>SHP-10169</t>
  </si>
  <si>
    <t>SHP-10170</t>
  </si>
  <si>
    <t>SHP-10171</t>
  </si>
  <si>
    <t>SHP-10172</t>
  </si>
  <si>
    <t>SHP-10173</t>
  </si>
  <si>
    <t>SHP-10174</t>
  </si>
  <si>
    <t>SHP-10175</t>
  </si>
  <si>
    <t>SHP-10176</t>
  </si>
  <si>
    <t>SHP-10177</t>
  </si>
  <si>
    <t>SHP-10178</t>
  </si>
  <si>
    <t>SHP-10179</t>
  </si>
  <si>
    <t>SHP-10180</t>
  </si>
  <si>
    <t>SHP-10181</t>
  </si>
  <si>
    <t>SHP-10182</t>
  </si>
  <si>
    <t>SHP-10183</t>
  </si>
  <si>
    <t>SHP-10184</t>
  </si>
  <si>
    <t>SHP-10185</t>
  </si>
  <si>
    <t>SHP-10186</t>
  </si>
  <si>
    <t>SHP-10187</t>
  </si>
  <si>
    <t>SHP-10188</t>
  </si>
  <si>
    <t>SHP-10189</t>
  </si>
  <si>
    <t>SHP-10190</t>
  </si>
  <si>
    <t>SHP-10191</t>
  </si>
  <si>
    <t>SHP-10192</t>
  </si>
  <si>
    <t>SHP-10193</t>
  </si>
  <si>
    <t>SHP-10194</t>
  </si>
  <si>
    <t>SHP-10195</t>
  </si>
  <si>
    <t>SHP-10196</t>
  </si>
  <si>
    <t>SHP-10197</t>
  </si>
  <si>
    <t>SHP-10198</t>
  </si>
  <si>
    <t>SHP-10199</t>
  </si>
  <si>
    <t>SHP-10200</t>
  </si>
  <si>
    <t>SHP-10201</t>
  </si>
  <si>
    <t>SHP-10202</t>
  </si>
  <si>
    <t>SHP-10203</t>
  </si>
  <si>
    <t>SHP-10204</t>
  </si>
  <si>
    <t>SHP-10205</t>
  </si>
  <si>
    <t>SHP-10206</t>
  </si>
  <si>
    <t>SHP-10207</t>
  </si>
  <si>
    <t>SHP-10208</t>
  </si>
  <si>
    <t>SHP-10209</t>
  </si>
  <si>
    <t>SHP-10210</t>
  </si>
  <si>
    <t>SHP-10211</t>
  </si>
  <si>
    <t>SHP-10212</t>
  </si>
  <si>
    <t>SHP-10213</t>
  </si>
  <si>
    <t>SHP-10214</t>
  </si>
  <si>
    <t>SHP-10215</t>
  </si>
  <si>
    <t>SHP-10216</t>
  </si>
  <si>
    <t>SHP-10217</t>
  </si>
  <si>
    <t>SHP-10218</t>
  </si>
  <si>
    <t>SHP-10219</t>
  </si>
  <si>
    <t>SHP-10220</t>
  </si>
  <si>
    <t>SHP-10221</t>
  </si>
  <si>
    <t>SHP-10222</t>
  </si>
  <si>
    <t>SHP-10223</t>
  </si>
  <si>
    <t>SHP-10224</t>
  </si>
  <si>
    <t>SHP-10225</t>
  </si>
  <si>
    <t>SHP-10226</t>
  </si>
  <si>
    <t>SHP-10227</t>
  </si>
  <si>
    <t>SHP-10228</t>
  </si>
  <si>
    <t>SHP-10229</t>
  </si>
  <si>
    <t>SHP-10230</t>
  </si>
  <si>
    <t>SHP-10231</t>
  </si>
  <si>
    <t>SHP-10232</t>
  </si>
  <si>
    <t>SHP-10233</t>
  </si>
  <si>
    <t>SHP-10234</t>
  </si>
  <si>
    <t>SHP-10235</t>
  </si>
  <si>
    <t>SHP-10236</t>
  </si>
  <si>
    <t>SHP-10237</t>
  </si>
  <si>
    <t>SHP-10238</t>
  </si>
  <si>
    <t>SHP-10239</t>
  </si>
  <si>
    <t>SHP-10240</t>
  </si>
  <si>
    <t>SHP-10241</t>
  </si>
  <si>
    <t>SHP-10242</t>
  </si>
  <si>
    <t>SHP-10243</t>
  </si>
  <si>
    <t>SHP-10244</t>
  </si>
  <si>
    <t>SHP-10245</t>
  </si>
  <si>
    <t>SHP-10246</t>
  </si>
  <si>
    <t>SHP-10247</t>
  </si>
  <si>
    <t>SHP-10248</t>
  </si>
  <si>
    <t>SHP-10249</t>
  </si>
  <si>
    <t>SHP-10250</t>
  </si>
  <si>
    <t>SHP-10251</t>
  </si>
  <si>
    <t>SHP-10252</t>
  </si>
  <si>
    <t>SHP-10253</t>
  </si>
  <si>
    <t>SHP-10254</t>
  </si>
  <si>
    <t>SHP-10255</t>
  </si>
  <si>
    <t>SHP-10256</t>
  </si>
  <si>
    <t>SHP-10257</t>
  </si>
  <si>
    <t>SHP-10258</t>
  </si>
  <si>
    <t>SHP-10259</t>
  </si>
  <si>
    <t>SHP-10260</t>
  </si>
  <si>
    <t>SHP-10261</t>
  </si>
  <si>
    <t>SHP-10262</t>
  </si>
  <si>
    <t>SHP-10263</t>
  </si>
  <si>
    <t>SHP-10264</t>
  </si>
  <si>
    <t>SHP-10265</t>
  </si>
  <si>
    <t>SHP-10266</t>
  </si>
  <si>
    <t>SHP-10267</t>
  </si>
  <si>
    <t>SHP-10268</t>
  </si>
  <si>
    <t>SHP-10269</t>
  </si>
  <si>
    <t>SHP-10270</t>
  </si>
  <si>
    <t>SHP-10271</t>
  </si>
  <si>
    <t>SHP-10272</t>
  </si>
  <si>
    <t>SHP-10273</t>
  </si>
  <si>
    <t>SHP-10274</t>
  </si>
  <si>
    <t>SHP-10275</t>
  </si>
  <si>
    <t>SHP-10276</t>
  </si>
  <si>
    <t>SHP-10277</t>
  </si>
  <si>
    <t>SHP-10278</t>
  </si>
  <si>
    <t>SHP-10279</t>
  </si>
  <si>
    <t>SHP-10280</t>
  </si>
  <si>
    <t>SHP-10281</t>
  </si>
  <si>
    <t>SHP-10282</t>
  </si>
  <si>
    <t>SHP-10283</t>
  </si>
  <si>
    <t>SHP-10284</t>
  </si>
  <si>
    <t>SHP-10285</t>
  </si>
  <si>
    <t>SHP-10286</t>
  </si>
  <si>
    <t>SHP-10287</t>
  </si>
  <si>
    <t>SHP-10288</t>
  </si>
  <si>
    <t>SHP-10289</t>
  </si>
  <si>
    <t>SHP-10290</t>
  </si>
  <si>
    <t>SHP-10291</t>
  </si>
  <si>
    <t>SHP-10292</t>
  </si>
  <si>
    <t>SHP-10293</t>
  </si>
  <si>
    <t>SHP-10294</t>
  </si>
  <si>
    <t>SHP-10295</t>
  </si>
  <si>
    <t>SHP-10296</t>
  </si>
  <si>
    <t>SHP-10297</t>
  </si>
  <si>
    <t>SHP-10298</t>
  </si>
  <si>
    <t>SHP-10299</t>
  </si>
  <si>
    <t>SHP-10300</t>
  </si>
  <si>
    <t>SHP-10301</t>
  </si>
  <si>
    <t>SHP-10302</t>
  </si>
  <si>
    <t>SHP-10303</t>
  </si>
  <si>
    <t>SHP-10304</t>
  </si>
  <si>
    <t>SHP-10305</t>
  </si>
  <si>
    <t>SHP-10306</t>
  </si>
  <si>
    <t>SHP-10307</t>
  </si>
  <si>
    <t>SHP-10308</t>
  </si>
  <si>
    <t>SHP-10309</t>
  </si>
  <si>
    <t>SHP-10310</t>
  </si>
  <si>
    <t>SHP-10311</t>
  </si>
  <si>
    <t>SHP-10312</t>
  </si>
  <si>
    <t>SHP-10313</t>
  </si>
  <si>
    <t>SHP-10314</t>
  </si>
  <si>
    <t>SHP-10315</t>
  </si>
  <si>
    <t>SHP-10316</t>
  </si>
  <si>
    <t>SHP-10317</t>
  </si>
  <si>
    <t>SHP-10318</t>
  </si>
  <si>
    <t>SHP-10319</t>
  </si>
  <si>
    <t>SHP-10320</t>
  </si>
  <si>
    <t>SHP-10321</t>
  </si>
  <si>
    <t>SHP-10322</t>
  </si>
  <si>
    <t>SHP-10323</t>
  </si>
  <si>
    <t>SHP-10324</t>
  </si>
  <si>
    <t>SHP-10325</t>
  </si>
  <si>
    <t>SHP-10326</t>
  </si>
  <si>
    <t>SHP-10327</t>
  </si>
  <si>
    <t>SHP-10328</t>
  </si>
  <si>
    <t>SHP-10329</t>
  </si>
  <si>
    <t>SHP-10330</t>
  </si>
  <si>
    <t>SHP-10331</t>
  </si>
  <si>
    <t>SHP-10332</t>
  </si>
  <si>
    <t>SHP-10333</t>
  </si>
  <si>
    <t>SHP-10334</t>
  </si>
  <si>
    <t>SHP-10335</t>
  </si>
  <si>
    <t>SHP-10336</t>
  </si>
  <si>
    <t>SHP-10337</t>
  </si>
  <si>
    <t>SHP-10338</t>
  </si>
  <si>
    <t>SHP-10339</t>
  </si>
  <si>
    <t>SHP-10340</t>
  </si>
  <si>
    <t>SHP-10341</t>
  </si>
  <si>
    <t>SHP-10342</t>
  </si>
  <si>
    <t>SHP-10343</t>
  </si>
  <si>
    <t>SHP-10344</t>
  </si>
  <si>
    <t>SHP-10345</t>
  </si>
  <si>
    <t>SHP-10346</t>
  </si>
  <si>
    <t>SHP-10347</t>
  </si>
  <si>
    <t>SHP-10348</t>
  </si>
  <si>
    <t>SHP-10349</t>
  </si>
  <si>
    <t>SHP-10350</t>
  </si>
  <si>
    <t>SHP-10351</t>
  </si>
  <si>
    <t>SHP-10352</t>
  </si>
  <si>
    <t>SHP-10353</t>
  </si>
  <si>
    <t>SHP-10354</t>
  </si>
  <si>
    <t>SHP-10355</t>
  </si>
  <si>
    <t>SHP-10356</t>
  </si>
  <si>
    <t>SHP-10357</t>
  </si>
  <si>
    <t>SHP-10358</t>
  </si>
  <si>
    <t>SHP-10359</t>
  </si>
  <si>
    <t>SHP-10360</t>
  </si>
  <si>
    <t>SHP-10361</t>
  </si>
  <si>
    <t>SHP-10362</t>
  </si>
  <si>
    <t>SHP-10363</t>
  </si>
  <si>
    <t>SHP-10364</t>
  </si>
  <si>
    <t>SHP-10365</t>
  </si>
  <si>
    <t>SHP-10366</t>
  </si>
  <si>
    <t>SHP-10367</t>
  </si>
  <si>
    <t>SHP-10368</t>
  </si>
  <si>
    <t>SHP-10369</t>
  </si>
  <si>
    <t>SHP-10370</t>
  </si>
  <si>
    <t>SHP-10371</t>
  </si>
  <si>
    <t>SHP-10372</t>
  </si>
  <si>
    <t>SHP-10373</t>
  </si>
  <si>
    <t>SHP-10374</t>
  </si>
  <si>
    <t>SHP-10375</t>
  </si>
  <si>
    <t>SHP-10376</t>
  </si>
  <si>
    <t>SHP-10377</t>
  </si>
  <si>
    <t>SHP-10378</t>
  </si>
  <si>
    <t>SHP-10379</t>
  </si>
  <si>
    <t>SHP-10380</t>
  </si>
  <si>
    <t>SHP-10381</t>
  </si>
  <si>
    <t>SHP-10382</t>
  </si>
  <si>
    <t>SHP-10383</t>
  </si>
  <si>
    <t>SHP-10384</t>
  </si>
  <si>
    <t>SHP-10385</t>
  </si>
  <si>
    <t>SHP-10386</t>
  </si>
  <si>
    <t>SHP-10387</t>
  </si>
  <si>
    <t>SHP-10388</t>
  </si>
  <si>
    <t>SHP-10389</t>
  </si>
  <si>
    <t>SHP-10390</t>
  </si>
  <si>
    <t>SHP-10391</t>
  </si>
  <si>
    <t>SHP-10392</t>
  </si>
  <si>
    <t>SHP-10393</t>
  </si>
  <si>
    <t>SHP-10394</t>
  </si>
  <si>
    <t>SHP-10395</t>
  </si>
  <si>
    <t>SHP-10396</t>
  </si>
  <si>
    <t>SHP-10397</t>
  </si>
  <si>
    <t>SHP-10398</t>
  </si>
  <si>
    <t>SHP-10399</t>
  </si>
  <si>
    <t>SHP-10400</t>
  </si>
  <si>
    <t>SHP-10401</t>
  </si>
  <si>
    <t>SHP-10402</t>
  </si>
  <si>
    <t>SHP-10403</t>
  </si>
  <si>
    <t>SHP-10404</t>
  </si>
  <si>
    <t>SHP-10405</t>
  </si>
  <si>
    <t>SHP-10406</t>
  </si>
  <si>
    <t>SHP-10407</t>
  </si>
  <si>
    <t>SHP-10408</t>
  </si>
  <si>
    <t>SHP-10409</t>
  </si>
  <si>
    <t>SHP-10410</t>
  </si>
  <si>
    <t>SHP-10411</t>
  </si>
  <si>
    <t>SHP-10412</t>
  </si>
  <si>
    <t>SHP-10413</t>
  </si>
  <si>
    <t>SHP-10414</t>
  </si>
  <si>
    <t>SHP-10415</t>
  </si>
  <si>
    <t>SHP-10416</t>
  </si>
  <si>
    <t>SHP-10417</t>
  </si>
  <si>
    <t>SHP-10418</t>
  </si>
  <si>
    <t>SHP-10419</t>
  </si>
  <si>
    <t>SHP-10420</t>
  </si>
  <si>
    <t>SHP-10421</t>
  </si>
  <si>
    <t>SHP-10422</t>
  </si>
  <si>
    <t>SHP-10423</t>
  </si>
  <si>
    <t>SHP-10424</t>
  </si>
  <si>
    <t>SHP-10425</t>
  </si>
  <si>
    <t>SHP-10426</t>
  </si>
  <si>
    <t>SHP-10427</t>
  </si>
  <si>
    <t>SHP-10428</t>
  </si>
  <si>
    <t>SHP-10429</t>
  </si>
  <si>
    <t>SHP-10430</t>
  </si>
  <si>
    <t>SHP-10431</t>
  </si>
  <si>
    <t>SHP-10432</t>
  </si>
  <si>
    <t>SHP-10433</t>
  </si>
  <si>
    <t>SHP-10434</t>
  </si>
  <si>
    <t>SHP-10435</t>
  </si>
  <si>
    <t>SHP-10436</t>
  </si>
  <si>
    <t>SHP-10437</t>
  </si>
  <si>
    <t>SHP-10438</t>
  </si>
  <si>
    <t>SHP-10439</t>
  </si>
  <si>
    <t>SHP-10440</t>
  </si>
  <si>
    <t>SHP-10441</t>
  </si>
  <si>
    <t>SHP-10442</t>
  </si>
  <si>
    <t>SHP-10443</t>
  </si>
  <si>
    <t>SHP-10444</t>
  </si>
  <si>
    <t>SHP-10445</t>
  </si>
  <si>
    <t>SHP-10446</t>
  </si>
  <si>
    <t>SHP-10447</t>
  </si>
  <si>
    <t>SHP-10448</t>
  </si>
  <si>
    <t>SHP-10449</t>
  </si>
  <si>
    <t>SHP-10450</t>
  </si>
  <si>
    <t>SHP-10451</t>
  </si>
  <si>
    <t>SHP-10452</t>
  </si>
  <si>
    <t>SHP-10453</t>
  </si>
  <si>
    <t>SHP-10454</t>
  </si>
  <si>
    <t>SHP-10455</t>
  </si>
  <si>
    <t>SHP-10456</t>
  </si>
  <si>
    <t>SHP-10457</t>
  </si>
  <si>
    <t>SHP-10458</t>
  </si>
  <si>
    <t>SHP-10459</t>
  </si>
  <si>
    <t>SHP-10460</t>
  </si>
  <si>
    <t>SHP-10461</t>
  </si>
  <si>
    <t>SHP-10462</t>
  </si>
  <si>
    <t>SHP-10463</t>
  </si>
  <si>
    <t>SHP-10464</t>
  </si>
  <si>
    <t>SHP-10465</t>
  </si>
  <si>
    <t>SHP-10466</t>
  </si>
  <si>
    <t>SHP-10467</t>
  </si>
  <si>
    <t>SHP-10468</t>
  </si>
  <si>
    <t>SHP-10469</t>
  </si>
  <si>
    <t>SHP-10470</t>
  </si>
  <si>
    <t>SHP-10471</t>
  </si>
  <si>
    <t>SHP-10472</t>
  </si>
  <si>
    <t>SHP-10473</t>
  </si>
  <si>
    <t>SHP-10474</t>
  </si>
  <si>
    <t>SHP-10475</t>
  </si>
  <si>
    <t>SHP-10476</t>
  </si>
  <si>
    <t>SHP-10477</t>
  </si>
  <si>
    <t>SHP-10478</t>
  </si>
  <si>
    <t>SHP-10479</t>
  </si>
  <si>
    <t>SHP-10480</t>
  </si>
  <si>
    <t>SHP-10481</t>
  </si>
  <si>
    <t>SHP-10482</t>
  </si>
  <si>
    <t>SHP-10483</t>
  </si>
  <si>
    <t>SHP-10484</t>
  </si>
  <si>
    <t>SHP-10485</t>
  </si>
  <si>
    <t>SHP-10486</t>
  </si>
  <si>
    <t>SHP-10487</t>
  </si>
  <si>
    <t>SHP-10488</t>
  </si>
  <si>
    <t>SHP-10489</t>
  </si>
  <si>
    <t>SHP-10490</t>
  </si>
  <si>
    <t>SHP-10491</t>
  </si>
  <si>
    <t>SHP-10492</t>
  </si>
  <si>
    <t>SHP-10493</t>
  </si>
  <si>
    <t>SHP-10494</t>
  </si>
  <si>
    <t>SHP-10495</t>
  </si>
  <si>
    <t>SHP-10496</t>
  </si>
  <si>
    <t>SHP-10497</t>
  </si>
  <si>
    <t>SHP-10498</t>
  </si>
  <si>
    <t>SHP-10499</t>
  </si>
  <si>
    <t>SHP-10500</t>
  </si>
  <si>
    <t>SHP-10501</t>
  </si>
  <si>
    <t>SHP-10502</t>
  </si>
  <si>
    <t>SHP-10503</t>
  </si>
  <si>
    <t>SHP-10504</t>
  </si>
  <si>
    <t>SHP-10505</t>
  </si>
  <si>
    <t>SHP-10506</t>
  </si>
  <si>
    <t>SHP-10507</t>
  </si>
  <si>
    <t>SHP-10508</t>
  </si>
  <si>
    <t>SHP-10509</t>
  </si>
  <si>
    <t>SHP-10510</t>
  </si>
  <si>
    <t>SHP-10511</t>
  </si>
  <si>
    <t>SHP-10512</t>
  </si>
  <si>
    <t>SHP-10513</t>
  </si>
  <si>
    <t>SHP-10514</t>
  </si>
  <si>
    <t>SHP-10515</t>
  </si>
  <si>
    <t>SHP-10516</t>
  </si>
  <si>
    <t>SHP-10517</t>
  </si>
  <si>
    <t>SHP-10518</t>
  </si>
  <si>
    <t>SHP-10519</t>
  </si>
  <si>
    <t>SHP-10520</t>
  </si>
  <si>
    <t>SHP-10521</t>
  </si>
  <si>
    <t>SHP-10522</t>
  </si>
  <si>
    <t>SHP-10523</t>
  </si>
  <si>
    <t>SHP-10524</t>
  </si>
  <si>
    <t>SHP-10525</t>
  </si>
  <si>
    <t>SHP-10526</t>
  </si>
  <si>
    <t>SHP-10527</t>
  </si>
  <si>
    <t>SHP-10528</t>
  </si>
  <si>
    <t>SHP-10529</t>
  </si>
  <si>
    <t>SHP-10530</t>
  </si>
  <si>
    <t>SHP-10531</t>
  </si>
  <si>
    <t>SHP-10532</t>
  </si>
  <si>
    <t>SHP-10533</t>
  </si>
  <si>
    <t>SHP-10534</t>
  </si>
  <si>
    <t>SHP-10535</t>
  </si>
  <si>
    <t>SHP-10536</t>
  </si>
  <si>
    <t>SHP-10537</t>
  </si>
  <si>
    <t>SHP-10538</t>
  </si>
  <si>
    <t>SHP-10539</t>
  </si>
  <si>
    <t>SHP-10540</t>
  </si>
  <si>
    <t>SHP-10541</t>
  </si>
  <si>
    <t>SHP-10542</t>
  </si>
  <si>
    <t>SHP-10543</t>
  </si>
  <si>
    <t>SHP-10544</t>
  </si>
  <si>
    <t>SHP-10545</t>
  </si>
  <si>
    <t>SHP-10546</t>
  </si>
  <si>
    <t>SHP-10547</t>
  </si>
  <si>
    <t>SHP-10548</t>
  </si>
  <si>
    <t>SHP-10549</t>
  </si>
  <si>
    <t>SHP-10550</t>
  </si>
  <si>
    <t>SHP-10551</t>
  </si>
  <si>
    <t>SHP-10552</t>
  </si>
  <si>
    <t>SHP-10553</t>
  </si>
  <si>
    <t>SHP-10554</t>
  </si>
  <si>
    <t>SHP-10555</t>
  </si>
  <si>
    <t>SHP-10556</t>
  </si>
  <si>
    <t>SHP-10557</t>
  </si>
  <si>
    <t>SHP-10558</t>
  </si>
  <si>
    <t>SHP-10559</t>
  </si>
  <si>
    <t>SHP-10560</t>
  </si>
  <si>
    <t>SHP-10561</t>
  </si>
  <si>
    <t>SHP-10562</t>
  </si>
  <si>
    <t>SHP-10563</t>
  </si>
  <si>
    <t>SHP-10564</t>
  </si>
  <si>
    <t>SHP-10565</t>
  </si>
  <si>
    <t>SHP-10566</t>
  </si>
  <si>
    <t>SHP-10567</t>
  </si>
  <si>
    <t>SHP-10568</t>
  </si>
  <si>
    <t>SHP-10569</t>
  </si>
  <si>
    <t>SHP-10570</t>
  </si>
  <si>
    <t>SHP-10571</t>
  </si>
  <si>
    <t>SHP-10572</t>
  </si>
  <si>
    <t>SHP-10573</t>
  </si>
  <si>
    <t>SHP-10574</t>
  </si>
  <si>
    <t>SHP-10575</t>
  </si>
  <si>
    <t>SHP-10576</t>
  </si>
  <si>
    <t>SHP-10577</t>
  </si>
  <si>
    <t>SHP-10578</t>
  </si>
  <si>
    <t>SHP-10579</t>
  </si>
  <si>
    <t>SHP-10580</t>
  </si>
  <si>
    <t>SHP-10581</t>
  </si>
  <si>
    <t>SHP-10582</t>
  </si>
  <si>
    <t>SHP-10583</t>
  </si>
  <si>
    <t>SHP-10584</t>
  </si>
  <si>
    <t>SHP-10585</t>
  </si>
  <si>
    <t>SHP-10586</t>
  </si>
  <si>
    <t>SHP-10587</t>
  </si>
  <si>
    <t>SHP-10588</t>
  </si>
  <si>
    <t>SHP-10589</t>
  </si>
  <si>
    <t>SHP-10590</t>
  </si>
  <si>
    <t>SHP-10591</t>
  </si>
  <si>
    <t>SHP-10592</t>
  </si>
  <si>
    <t>SHP-10593</t>
  </si>
  <si>
    <t>SHP-10594</t>
  </si>
  <si>
    <t>SHP-10595</t>
  </si>
  <si>
    <t>SHP-10596</t>
  </si>
  <si>
    <t>SHP-10597</t>
  </si>
  <si>
    <t>SHP-10598</t>
  </si>
  <si>
    <t>SHP-10599</t>
  </si>
  <si>
    <t>SHP-10600</t>
  </si>
  <si>
    <t>SHP-10601</t>
  </si>
  <si>
    <t>SHP-10602</t>
  </si>
  <si>
    <t>SHP-10603</t>
  </si>
  <si>
    <t>SHP-10604</t>
  </si>
  <si>
    <t>SHP-10605</t>
  </si>
  <si>
    <t>SHP-10606</t>
  </si>
  <si>
    <t>SHP-10607</t>
  </si>
  <si>
    <t>SHP-10608</t>
  </si>
  <si>
    <t>SHP-10609</t>
  </si>
  <si>
    <t>SHP-10610</t>
  </si>
  <si>
    <t>SHP-10611</t>
  </si>
  <si>
    <t>SHP-10612</t>
  </si>
  <si>
    <t>SHP-10613</t>
  </si>
  <si>
    <t>SHP-10614</t>
  </si>
  <si>
    <t>SHP-10615</t>
  </si>
  <si>
    <t>SHP-10616</t>
  </si>
  <si>
    <t>SHP-10617</t>
  </si>
  <si>
    <t>SHP-10618</t>
  </si>
  <si>
    <t>SHP-10619</t>
  </si>
  <si>
    <t>SHP-10620</t>
  </si>
  <si>
    <t>SHP-10621</t>
  </si>
  <si>
    <t>SHP-10622</t>
  </si>
  <si>
    <t>SHP-10623</t>
  </si>
  <si>
    <t>SHP-10624</t>
  </si>
  <si>
    <t>SHP-10625</t>
  </si>
  <si>
    <t>SHP-10626</t>
  </si>
  <si>
    <t>SHP-10627</t>
  </si>
  <si>
    <t>SHP-10628</t>
  </si>
  <si>
    <t>SHP-10629</t>
  </si>
  <si>
    <t>SHP-10630</t>
  </si>
  <si>
    <t>SHP-10631</t>
  </si>
  <si>
    <t>SHP-10632</t>
  </si>
  <si>
    <t>SHP-10633</t>
  </si>
  <si>
    <t>SHP-10634</t>
  </si>
  <si>
    <t>SHP-10635</t>
  </si>
  <si>
    <t>SHP-10636</t>
  </si>
  <si>
    <t>SHP-10637</t>
  </si>
  <si>
    <t>SHP-10638</t>
  </si>
  <si>
    <t>SHP-10639</t>
  </si>
  <si>
    <t>SHP-10640</t>
  </si>
  <si>
    <t>SHP-10641</t>
  </si>
  <si>
    <t>SHP-10642</t>
  </si>
  <si>
    <t>SHP-10643</t>
  </si>
  <si>
    <t>SHP-10644</t>
  </si>
  <si>
    <t>SHP-10645</t>
  </si>
  <si>
    <t>SHP-10646</t>
  </si>
  <si>
    <t>SHP-10647</t>
  </si>
  <si>
    <t>SHP-10648</t>
  </si>
  <si>
    <t>SHP-10649</t>
  </si>
  <si>
    <t>SHP-10650</t>
  </si>
  <si>
    <t>SHP-10651</t>
  </si>
  <si>
    <t>SHP-10652</t>
  </si>
  <si>
    <t>SHP-10653</t>
  </si>
  <si>
    <t>SHP-10654</t>
  </si>
  <si>
    <t>SHP-10655</t>
  </si>
  <si>
    <t>SHP-10656</t>
  </si>
  <si>
    <t>SHP-10657</t>
  </si>
  <si>
    <t>SHP-10658</t>
  </si>
  <si>
    <t>SHP-10659</t>
  </si>
  <si>
    <t>SHP-10660</t>
  </si>
  <si>
    <t>SHP-10661</t>
  </si>
  <si>
    <t>SHP-10662</t>
  </si>
  <si>
    <t>SHP-10663</t>
  </si>
  <si>
    <t>SHP-10664</t>
  </si>
  <si>
    <t>SHP-10665</t>
  </si>
  <si>
    <t>SHP-10666</t>
  </si>
  <si>
    <t>SHP-10667</t>
  </si>
  <si>
    <t>SHP-10668</t>
  </si>
  <si>
    <t>SHP-10669</t>
  </si>
  <si>
    <t>SHP-10670</t>
  </si>
  <si>
    <t>SHP-10671</t>
  </si>
  <si>
    <t>SHP-10672</t>
  </si>
  <si>
    <t>SHP-10673</t>
  </si>
  <si>
    <t>SHP-10674</t>
  </si>
  <si>
    <t>SHP-10675</t>
  </si>
  <si>
    <t>SHP-10676</t>
  </si>
  <si>
    <t>SHP-10677</t>
  </si>
  <si>
    <t>SHP-10678</t>
  </si>
  <si>
    <t>SHP-10679</t>
  </si>
  <si>
    <t>SHP-10680</t>
  </si>
  <si>
    <t>SHP-10681</t>
  </si>
  <si>
    <t>SHP-10682</t>
  </si>
  <si>
    <t>SHP-10683</t>
  </si>
  <si>
    <t>SHP-10684</t>
  </si>
  <si>
    <t>SHP-10685</t>
  </si>
  <si>
    <t>SHP-10686</t>
  </si>
  <si>
    <t>SHP-10687</t>
  </si>
  <si>
    <t>SHP-10688</t>
  </si>
  <si>
    <t>SHP-10689</t>
  </si>
  <si>
    <t>SHP-10690</t>
  </si>
  <si>
    <t>SHP-10691</t>
  </si>
  <si>
    <t>SHP-10692</t>
  </si>
  <si>
    <t>SHP-10693</t>
  </si>
  <si>
    <t>SHP-10694</t>
  </si>
  <si>
    <t>SHP-10695</t>
  </si>
  <si>
    <t>SHP-10696</t>
  </si>
  <si>
    <t>SHP-10697</t>
  </si>
  <si>
    <t>SHP-10698</t>
  </si>
  <si>
    <t>SHP-10699</t>
  </si>
  <si>
    <t>SHP-10700</t>
  </si>
  <si>
    <t>SHP-10701</t>
  </si>
  <si>
    <t>SHP-10702</t>
  </si>
  <si>
    <t>SHP-10703</t>
  </si>
  <si>
    <t>SHP-10704</t>
  </si>
  <si>
    <t>SHP-10705</t>
  </si>
  <si>
    <t>SHP-10706</t>
  </si>
  <si>
    <t>SHP-10707</t>
  </si>
  <si>
    <t>SHP-10708</t>
  </si>
  <si>
    <t>SHP-10709</t>
  </si>
  <si>
    <t>SHP-10710</t>
  </si>
  <si>
    <t>SHP-10711</t>
  </si>
  <si>
    <t>SHP-10712</t>
  </si>
  <si>
    <t>SHP-10713</t>
  </si>
  <si>
    <t>SHP-10714</t>
  </si>
  <si>
    <t>SHP-10715</t>
  </si>
  <si>
    <t>SHP-10716</t>
  </si>
  <si>
    <t>SHP-10717</t>
  </si>
  <si>
    <t>SHP-10718</t>
  </si>
  <si>
    <t>SHP-10719</t>
  </si>
  <si>
    <t>SHP-10720</t>
  </si>
  <si>
    <t>SHP-10721</t>
  </si>
  <si>
    <t>SHP-10722</t>
  </si>
  <si>
    <t>SHP-10723</t>
  </si>
  <si>
    <t>SHP-10724</t>
  </si>
  <si>
    <t>SHP-10725</t>
  </si>
  <si>
    <t>SHP-10726</t>
  </si>
  <si>
    <t>SHP-10727</t>
  </si>
  <si>
    <t>SHP-10728</t>
  </si>
  <si>
    <t>SHP-10729</t>
  </si>
  <si>
    <t>SHP-10730</t>
  </si>
  <si>
    <t>SHP-10731</t>
  </si>
  <si>
    <t>SHP-10732</t>
  </si>
  <si>
    <t>SHP-10733</t>
  </si>
  <si>
    <t>SHP-10734</t>
  </si>
  <si>
    <t>SHP-10735</t>
  </si>
  <si>
    <t>SHP-10736</t>
  </si>
  <si>
    <t>SHP-10737</t>
  </si>
  <si>
    <t>SHP-10738</t>
  </si>
  <si>
    <t>SHP-10739</t>
  </si>
  <si>
    <t>SHP-10740</t>
  </si>
  <si>
    <t>SHP-10741</t>
  </si>
  <si>
    <t>SHP-10742</t>
  </si>
  <si>
    <t>SHP-10743</t>
  </si>
  <si>
    <t>SHP-10744</t>
  </si>
  <si>
    <t>SHP-10745</t>
  </si>
  <si>
    <t>SHP-10746</t>
  </si>
  <si>
    <t>SHP-10747</t>
  </si>
  <si>
    <t>SHP-10748</t>
  </si>
  <si>
    <t>SHP-10749</t>
  </si>
  <si>
    <t>SHP-10750</t>
  </si>
  <si>
    <t>SHP-10751</t>
  </si>
  <si>
    <t>SHP-10752</t>
  </si>
  <si>
    <t>SHP-10753</t>
  </si>
  <si>
    <t>SHP-10754</t>
  </si>
  <si>
    <t>SHP-10755</t>
  </si>
  <si>
    <t>SHP-10756</t>
  </si>
  <si>
    <t>SHP-10757</t>
  </si>
  <si>
    <t>SHP-10758</t>
  </si>
  <si>
    <t>SHP-10759</t>
  </si>
  <si>
    <t>SHP-10760</t>
  </si>
  <si>
    <t>SHP-10761</t>
  </si>
  <si>
    <t>SHP-10762</t>
  </si>
  <si>
    <t>SHP-10763</t>
  </si>
  <si>
    <t>SHP-10764</t>
  </si>
  <si>
    <t>SHP-10765</t>
  </si>
  <si>
    <t>SHP-10766</t>
  </si>
  <si>
    <t>SHP-10767</t>
  </si>
  <si>
    <t>SHP-10768</t>
  </si>
  <si>
    <t>SHP-10769</t>
  </si>
  <si>
    <t>SHP-10770</t>
  </si>
  <si>
    <t>SHP-10771</t>
  </si>
  <si>
    <t>SHP-10772</t>
  </si>
  <si>
    <t>SHP-10773</t>
  </si>
  <si>
    <t>SHP-10774</t>
  </si>
  <si>
    <t>SHP-10775</t>
  </si>
  <si>
    <t>SHP-10776</t>
  </si>
  <si>
    <t>SHP-10777</t>
  </si>
  <si>
    <t>SHP-10778</t>
  </si>
  <si>
    <t>SHP-10779</t>
  </si>
  <si>
    <t>SHP-10780</t>
  </si>
  <si>
    <t>SHP-10781</t>
  </si>
  <si>
    <t>SHP-10782</t>
  </si>
  <si>
    <t>SHP-10783</t>
  </si>
  <si>
    <t>SHP-10784</t>
  </si>
  <si>
    <t>SHP-10785</t>
  </si>
  <si>
    <t>SHP-10786</t>
  </si>
  <si>
    <t>SHP-10787</t>
  </si>
  <si>
    <t>SHP-10788</t>
  </si>
  <si>
    <t>SHP-10789</t>
  </si>
  <si>
    <t>SHP-10790</t>
  </si>
  <si>
    <t>SHP-10791</t>
  </si>
  <si>
    <t>SHP-10792</t>
  </si>
  <si>
    <t>SHP-10793</t>
  </si>
  <si>
    <t>SHP-10794</t>
  </si>
  <si>
    <t>SHP-10795</t>
  </si>
  <si>
    <t>SHP-10796</t>
  </si>
  <si>
    <t>SHP-10797</t>
  </si>
  <si>
    <t>SHP-10798</t>
  </si>
  <si>
    <t>SHP-10799</t>
  </si>
  <si>
    <t>SHP-10800</t>
  </si>
  <si>
    <t>SHP-10801</t>
  </si>
  <si>
    <t>SHP-10802</t>
  </si>
  <si>
    <t>SHP-10803</t>
  </si>
  <si>
    <t>SHP-10804</t>
  </si>
  <si>
    <t>SHP-10805</t>
  </si>
  <si>
    <t>SHP-10806</t>
  </si>
  <si>
    <t>SHP-10807</t>
  </si>
  <si>
    <t>SHP-10808</t>
  </si>
  <si>
    <t>SHP-10809</t>
  </si>
  <si>
    <t>SHP-10810</t>
  </si>
  <si>
    <t>SHP-10811</t>
  </si>
  <si>
    <t>SHP-10812</t>
  </si>
  <si>
    <t>SHP-10813</t>
  </si>
  <si>
    <t>SHP-10814</t>
  </si>
  <si>
    <t>SHP-10815</t>
  </si>
  <si>
    <t>SHP-10816</t>
  </si>
  <si>
    <t>SHP-10817</t>
  </si>
  <si>
    <t>SHP-10818</t>
  </si>
  <si>
    <t>SHP-10819</t>
  </si>
  <si>
    <t>SHP-10820</t>
  </si>
  <si>
    <t>SHP-10821</t>
  </si>
  <si>
    <t>SHP-10822</t>
  </si>
  <si>
    <t>SHP-10823</t>
  </si>
  <si>
    <t>SHP-10824</t>
  </si>
  <si>
    <t>SHP-10825</t>
  </si>
  <si>
    <t>SHP-10826</t>
  </si>
  <si>
    <t>SHP-10827</t>
  </si>
  <si>
    <t>SHP-10828</t>
  </si>
  <si>
    <t>SHP-10829</t>
  </si>
  <si>
    <t>SHP-10830</t>
  </si>
  <si>
    <t>SHP-10831</t>
  </si>
  <si>
    <t>SHP-10832</t>
  </si>
  <si>
    <t>SHP-10833</t>
  </si>
  <si>
    <t>SHP-10834</t>
  </si>
  <si>
    <t>SHP-10835</t>
  </si>
  <si>
    <t>SHP-10836</t>
  </si>
  <si>
    <t>SHP-10837</t>
  </si>
  <si>
    <t>SHP-10838</t>
  </si>
  <si>
    <t>SHP-10839</t>
  </si>
  <si>
    <t>SHP-10840</t>
  </si>
  <si>
    <t>SHP-10841</t>
  </si>
  <si>
    <t>SHP-10842</t>
  </si>
  <si>
    <t>SHP-10843</t>
  </si>
  <si>
    <t>SHP-10844</t>
  </si>
  <si>
    <t>SHP-10845</t>
  </si>
  <si>
    <t>SHP-10846</t>
  </si>
  <si>
    <t>SHP-10847</t>
  </si>
  <si>
    <t>SHP-10848</t>
  </si>
  <si>
    <t>SHP-10849</t>
  </si>
  <si>
    <t>SHP-10850</t>
  </si>
  <si>
    <t>SHP-10851</t>
  </si>
  <si>
    <t>SHP-10852</t>
  </si>
  <si>
    <t>SHP-10853</t>
  </si>
  <si>
    <t>SHP-10854</t>
  </si>
  <si>
    <t>SHP-10855</t>
  </si>
  <si>
    <t>SHP-10856</t>
  </si>
  <si>
    <t>SHP-10857</t>
  </si>
  <si>
    <t>SHP-10858</t>
  </si>
  <si>
    <t>SHP-10859</t>
  </si>
  <si>
    <t>SHP-10860</t>
  </si>
  <si>
    <t>SHP-10861</t>
  </si>
  <si>
    <t>SHP-10862</t>
  </si>
  <si>
    <t>SHP-10863</t>
  </si>
  <si>
    <t>SHP-10864</t>
  </si>
  <si>
    <t>SHP-10865</t>
  </si>
  <si>
    <t>SHP-10866</t>
  </si>
  <si>
    <t>SHP-10867</t>
  </si>
  <si>
    <t>SHP-10868</t>
  </si>
  <si>
    <t>SHP-10869</t>
  </si>
  <si>
    <t>SHP-10870</t>
  </si>
  <si>
    <t>SHP-10871</t>
  </si>
  <si>
    <t>SHP-10872</t>
  </si>
  <si>
    <t>SHP-10873</t>
  </si>
  <si>
    <t>SHP-10874</t>
  </si>
  <si>
    <t>SHP-10875</t>
  </si>
  <si>
    <t>SHP-10876</t>
  </si>
  <si>
    <t>SHP-10877</t>
  </si>
  <si>
    <t>SHP-10878</t>
  </si>
  <si>
    <t>SHP-10879</t>
  </si>
  <si>
    <t>SHP-10880</t>
  </si>
  <si>
    <t>SHP-10881</t>
  </si>
  <si>
    <t>SHP-10882</t>
  </si>
  <si>
    <t>SHP-10883</t>
  </si>
  <si>
    <t>SHP-10884</t>
  </si>
  <si>
    <t>SHP-10885</t>
  </si>
  <si>
    <t>SHP-10886</t>
  </si>
  <si>
    <t>SHP-10887</t>
  </si>
  <si>
    <t>SHP-10888</t>
  </si>
  <si>
    <t>SHP-10889</t>
  </si>
  <si>
    <t>SHP-10890</t>
  </si>
  <si>
    <t>SHP-10891</t>
  </si>
  <si>
    <t>SHP-10892</t>
  </si>
  <si>
    <t>SHP-10893</t>
  </si>
  <si>
    <t>SHP-10894</t>
  </si>
  <si>
    <t>SHP-10895</t>
  </si>
  <si>
    <t>SHP-10896</t>
  </si>
  <si>
    <t>SHP-10897</t>
  </si>
  <si>
    <t>SHP-10898</t>
  </si>
  <si>
    <t>SHP-10899</t>
  </si>
  <si>
    <t>SHP-10900</t>
  </si>
  <si>
    <t>SHP-10901</t>
  </si>
  <si>
    <t>SHP-10902</t>
  </si>
  <si>
    <t>SHP-10903</t>
  </si>
  <si>
    <t>SHP-10904</t>
  </si>
  <si>
    <t>SHP-10905</t>
  </si>
  <si>
    <t>SHP-10906</t>
  </si>
  <si>
    <t>SHP-10907</t>
  </si>
  <si>
    <t>SHP-10908</t>
  </si>
  <si>
    <t>SHP-10909</t>
  </si>
  <si>
    <t>SHP-10910</t>
  </si>
  <si>
    <t>SHP-10911</t>
  </si>
  <si>
    <t>SHP-10912</t>
  </si>
  <si>
    <t>SHP-10913</t>
  </si>
  <si>
    <t>SHP-10914</t>
  </si>
  <si>
    <t>SHP-10915</t>
  </si>
  <si>
    <t>SHP-10916</t>
  </si>
  <si>
    <t>SHP-10917</t>
  </si>
  <si>
    <t>SHP-10918</t>
  </si>
  <si>
    <t>SHP-10919</t>
  </si>
  <si>
    <t>SHP-10920</t>
  </si>
  <si>
    <t>SHP-10921</t>
  </si>
  <si>
    <t>SHP-10922</t>
  </si>
  <si>
    <t>SHP-10923</t>
  </si>
  <si>
    <t>SHP-10924</t>
  </si>
  <si>
    <t>SHP-10925</t>
  </si>
  <si>
    <t>SHP-10926</t>
  </si>
  <si>
    <t>SHP-10927</t>
  </si>
  <si>
    <t>SHP-10928</t>
  </si>
  <si>
    <t>SHP-10929</t>
  </si>
  <si>
    <t>SHP-10930</t>
  </si>
  <si>
    <t>SHP-10931</t>
  </si>
  <si>
    <t>SHP-10932</t>
  </si>
  <si>
    <t>SHP-10933</t>
  </si>
  <si>
    <t>SHP-10934</t>
  </si>
  <si>
    <t>SHP-10935</t>
  </si>
  <si>
    <t>SHP-10936</t>
  </si>
  <si>
    <t>SHP-10937</t>
  </si>
  <si>
    <t>SHP-10938</t>
  </si>
  <si>
    <t>SHP-10939</t>
  </si>
  <si>
    <t>SHP-10940</t>
  </si>
  <si>
    <t>SHP-10941</t>
  </si>
  <si>
    <t>SHP-10942</t>
  </si>
  <si>
    <t>SHP-10943</t>
  </si>
  <si>
    <t>SHP-10944</t>
  </si>
  <si>
    <t>SHP-10945</t>
  </si>
  <si>
    <t>SHP-10946</t>
  </si>
  <si>
    <t>SHP-10947</t>
  </si>
  <si>
    <t>SHP-10948</t>
  </si>
  <si>
    <t>SHP-10949</t>
  </si>
  <si>
    <t>SHP-10950</t>
  </si>
  <si>
    <t>SHP-10951</t>
  </si>
  <si>
    <t>SHP-10952</t>
  </si>
  <si>
    <t>SHP-10953</t>
  </si>
  <si>
    <t>SHP-10954</t>
  </si>
  <si>
    <t>SHP-10955</t>
  </si>
  <si>
    <t>SHP-10956</t>
  </si>
  <si>
    <t>SHP-10957</t>
  </si>
  <si>
    <t>SHP-10958</t>
  </si>
  <si>
    <t>SHP-10959</t>
  </si>
  <si>
    <t>SHP-10960</t>
  </si>
  <si>
    <t>SHP-10961</t>
  </si>
  <si>
    <t>SHP-10962</t>
  </si>
  <si>
    <t>SHP-10963</t>
  </si>
  <si>
    <t>SHP-10964</t>
  </si>
  <si>
    <t>SHP-10965</t>
  </si>
  <si>
    <t>SHP-10966</t>
  </si>
  <si>
    <t>SHP-10967</t>
  </si>
  <si>
    <t>SHP-10968</t>
  </si>
  <si>
    <t>SHP-10969</t>
  </si>
  <si>
    <t>SHP-10970</t>
  </si>
  <si>
    <t>SHP-10971</t>
  </si>
  <si>
    <t>SHP-10972</t>
  </si>
  <si>
    <t>SHP-10973</t>
  </si>
  <si>
    <t>SHP-10974</t>
  </si>
  <si>
    <t>SHP-10975</t>
  </si>
  <si>
    <t>SHP-10976</t>
  </si>
  <si>
    <t>SHP-10977</t>
  </si>
  <si>
    <t>SHP-10978</t>
  </si>
  <si>
    <t>SHP-10979</t>
  </si>
  <si>
    <t>SHP-10980</t>
  </si>
  <si>
    <t>SHP-10981</t>
  </si>
  <si>
    <t>SHP-10982</t>
  </si>
  <si>
    <t>SHP-10983</t>
  </si>
  <si>
    <t>SHP-10984</t>
  </si>
  <si>
    <t>SHP-10985</t>
  </si>
  <si>
    <t>SHP-10986</t>
  </si>
  <si>
    <t>SHP-10987</t>
  </si>
  <si>
    <t>SHP-10988</t>
  </si>
  <si>
    <t>SHP-10989</t>
  </si>
  <si>
    <t>SHP-10990</t>
  </si>
  <si>
    <t>SHP-10991</t>
  </si>
  <si>
    <t>SHP-10992</t>
  </si>
  <si>
    <t>SHP-10993</t>
  </si>
  <si>
    <t>SHP-10994</t>
  </si>
  <si>
    <t>SHP-10995</t>
  </si>
  <si>
    <t>SHP-10996</t>
  </si>
  <si>
    <t>SHP-10997</t>
  </si>
  <si>
    <t>SHP-10998</t>
  </si>
  <si>
    <t>SHP-10999</t>
  </si>
  <si>
    <t>SHP-11000</t>
  </si>
  <si>
    <t>On-Time</t>
  </si>
  <si>
    <t>Minor Delay</t>
  </si>
  <si>
    <t>SLA Breach</t>
  </si>
  <si>
    <t>SLA Target (On-Time Ship Rate)</t>
  </si>
  <si>
    <t>Penalty per breach-day (USD)</t>
  </si>
  <si>
    <t>Breach Definition</t>
  </si>
  <si>
    <t>Early Shipment Treatment</t>
  </si>
  <si>
    <t>Actual &gt; Promised</t>
  </si>
  <si>
    <t>Count as on-time</t>
  </si>
  <si>
    <t>Percentage</t>
  </si>
  <si>
    <t>Currency</t>
  </si>
  <si>
    <t>Text</t>
  </si>
  <si>
    <t>Label</t>
  </si>
  <si>
    <t>Value</t>
  </si>
  <si>
    <t>Format</t>
  </si>
  <si>
    <t>Note</t>
  </si>
  <si>
    <r>
      <t xml:space="preserve">The dataset has no penalty field. </t>
    </r>
    <r>
      <rPr>
        <b/>
        <sz val="11"/>
        <color theme="1"/>
        <rFont val="Calibri"/>
        <family val="2"/>
        <scheme val="minor"/>
      </rPr>
      <t xml:space="preserve">$75/breach-day </t>
    </r>
    <r>
      <rPr>
        <sz val="11"/>
        <color theme="1"/>
        <rFont val="Calibri"/>
        <family val="2"/>
        <scheme val="minor"/>
      </rPr>
      <t xml:space="preserve"> is a placeholder; change if you want, but never present it as data.</t>
    </r>
  </si>
  <si>
    <t>Total Shipments</t>
  </si>
  <si>
    <t>On-Time Shipments</t>
  </si>
  <si>
    <t>SLA Breached Shipments</t>
  </si>
  <si>
    <t>SLA Compliance Rate</t>
  </si>
  <si>
    <t>SLA Target Gap</t>
  </si>
  <si>
    <t>Total Breach Days</t>
  </si>
  <si>
    <t>Avg Delay When Late</t>
  </si>
  <si>
    <t>Avg Schedule Variance</t>
  </si>
  <si>
    <t>Total Freight Cost</t>
  </si>
  <si>
    <t>Total Weight</t>
  </si>
  <si>
    <t>Freight Cost Per Lb</t>
  </si>
  <si>
    <t>Avg Order Freight Cost</t>
  </si>
  <si>
    <t>Modeled Penalty Exposure</t>
  </si>
  <si>
    <t>PIVOT 0 - KPI Block</t>
  </si>
  <si>
    <t>PIVOT 1 - Monthly Trend</t>
  </si>
  <si>
    <t>PIVOT 2 - Carrier</t>
  </si>
  <si>
    <t>PIVOT 3 - Warehouse</t>
  </si>
  <si>
    <t>PIVOT 4 - Region</t>
  </si>
  <si>
    <t>PIVOT 5 - Delay Distribution</t>
  </si>
  <si>
    <t>Grand Total</t>
  </si>
  <si>
    <t>2025</t>
  </si>
  <si>
    <t>2026</t>
  </si>
  <si>
    <t>Target</t>
  </si>
  <si>
    <t>Buffer Days Added to Promise Window</t>
  </si>
  <si>
    <t>Breaches</t>
  </si>
  <si>
    <t>Compliance Rate</t>
  </si>
  <si>
    <t>Breach Days</t>
  </si>
  <si>
    <t>Penalty Exposure</t>
  </si>
  <si>
    <t>Penalty Rate Per Day</t>
  </si>
  <si>
    <t>Compliance</t>
  </si>
  <si>
    <t>Penalty</t>
  </si>
  <si>
    <t>Aug</t>
  </si>
  <si>
    <t>Sep</t>
  </si>
  <si>
    <t>Oct</t>
  </si>
  <si>
    <t>Nov</t>
  </si>
  <si>
    <t>Dec</t>
  </si>
  <si>
    <t>Jul</t>
  </si>
  <si>
    <t>Jan</t>
  </si>
  <si>
    <t>Feb</t>
  </si>
  <si>
    <t>Mar</t>
  </si>
  <si>
    <t>Apr</t>
  </si>
  <si>
    <t>May</t>
  </si>
  <si>
    <t>Jun</t>
  </si>
  <si>
    <t>Delay_Days</t>
  </si>
  <si>
    <t>Shipments</t>
  </si>
  <si>
    <t>Static extract from calc_pivots Pivot 5. Refreshed 2026-08-01</t>
  </si>
  <si>
    <t>Sanity check</t>
  </si>
  <si>
    <t>Gap to Target</t>
  </si>
  <si>
    <t>Gap</t>
  </si>
  <si>
    <t>Buffer</t>
  </si>
  <si>
    <t>Key Insight</t>
  </si>
  <si>
    <t>On-Time Ship Rate</t>
  </si>
  <si>
    <t>Gap To Target</t>
  </si>
  <si>
    <t>SLA Breaches</t>
  </si>
  <si>
    <t>Total Freight Spend</t>
  </si>
  <si>
    <t>Supply Chain SLA &amp; Freight Performance Dashboard</t>
  </si>
  <si>
    <t>Month</t>
  </si>
  <si>
    <t>Carrier</t>
  </si>
  <si>
    <t>Helper PIVOT 1</t>
  </si>
  <si>
    <t/>
  </si>
  <si>
    <t>Helper PIVOT 2</t>
  </si>
  <si>
    <t>Key Insights</t>
  </si>
  <si>
    <t>Average SLA</t>
  </si>
  <si>
    <t>Target Gap</t>
  </si>
  <si>
    <t>Best Carrier</t>
  </si>
  <si>
    <t>Lowest Carrier</t>
  </si>
  <si>
    <t>Trend Insight</t>
  </si>
  <si>
    <t>Best Carrier Insight</t>
  </si>
  <si>
    <t>Lowest Carrier Insight</t>
  </si>
  <si>
    <t>Recommendation</t>
  </si>
  <si>
    <t>Highest Volume</t>
  </si>
  <si>
    <t xml:space="preserve"> Selected Period: Aug 2025 – Jul 2026 | 1,000 Shipments | SLA Target: 90%</t>
  </si>
  <si>
    <r>
      <rPr>
        <b/>
        <sz val="18"/>
        <color theme="5" tint="-0.249977111117893"/>
        <rFont val="Segoe UI"/>
        <family val="2"/>
      </rPr>
      <t>02</t>
    </r>
    <r>
      <rPr>
        <b/>
        <sz val="18"/>
        <color rgb="FF2C2C2A"/>
        <rFont val="Segoe UI"/>
        <family val="2"/>
      </rPr>
      <t xml:space="preserve"> WHERE THE BREACHES CONCENTRATE</t>
    </r>
  </si>
  <si>
    <t>Helper PIVOT 3</t>
  </si>
  <si>
    <t>Helper PIVOT 4</t>
  </si>
  <si>
    <t>Warehouse</t>
  </si>
  <si>
    <r>
      <rPr>
        <b/>
        <sz val="18"/>
        <color theme="5" tint="-0.249977111117893"/>
        <rFont val="Segoe UI"/>
        <family val="2"/>
      </rPr>
      <t>03</t>
    </r>
    <r>
      <rPr>
        <b/>
        <sz val="18"/>
        <color rgb="FF2C2C2A"/>
        <rFont val="Segoe UI"/>
        <family val="2"/>
      </rPr>
      <t xml:space="preserve"> DELAY &amp; BUFFER OPTIMIZATION</t>
    </r>
  </si>
  <si>
    <r>
      <rPr>
        <b/>
        <sz val="18"/>
        <color theme="5" tint="-0.249977111117893"/>
        <rFont val="Segoe UI"/>
        <family val="2"/>
      </rPr>
      <t>01</t>
    </r>
    <r>
      <rPr>
        <b/>
        <sz val="18"/>
        <color rgb="FF2C2C2A"/>
        <rFont val="Segoe UI"/>
        <family val="2"/>
      </rPr>
      <t xml:space="preserve"> PERFORMANCE OVERVIEW</t>
    </r>
  </si>
  <si>
    <t>Helper PIVOT 5</t>
  </si>
  <si>
    <t>Days</t>
  </si>
  <si>
    <t>1 Day Early</t>
  </si>
  <si>
    <t>On Time</t>
  </si>
  <si>
    <t>1 Day Late</t>
  </si>
  <si>
    <t>2 Days Late</t>
  </si>
  <si>
    <t>3 Days Late</t>
  </si>
  <si>
    <t>4+ Days Late</t>
  </si>
  <si>
    <t>Helper Scenario Analysis</t>
  </si>
  <si>
    <t>Finding</t>
  </si>
  <si>
    <t>Owner</t>
  </si>
  <si>
    <t>Priority</t>
  </si>
  <si>
    <t>0-30 days</t>
  </si>
  <si>
    <t>30-60 days</t>
  </si>
  <si>
    <t>Network Planning</t>
  </si>
  <si>
    <t>Monthly</t>
  </si>
  <si>
    <r>
      <rPr>
        <b/>
        <sz val="18"/>
        <color theme="5" tint="-0.249977111117893"/>
        <rFont val="Segoe UI"/>
        <family val="2"/>
      </rPr>
      <t>04</t>
    </r>
    <r>
      <rPr>
        <b/>
        <sz val="18"/>
        <color rgb="FF2C2C2A"/>
        <rFont val="Segoe UI"/>
        <family val="2"/>
      </rPr>
      <t xml:space="preserve"> EXECUTIVE INSIGHTS &amp; MANAGEMENT ACTION</t>
    </r>
  </si>
  <si>
    <t>Area</t>
  </si>
  <si>
    <t>Recommended Action</t>
  </si>
  <si>
    <t>RailLink Logistics has the lowest SLA (80.7%)</t>
  </si>
  <si>
    <t>Tacoma Coastal Warehouse has the highest breach rate (11.6%)</t>
  </si>
  <si>
    <t>Minor delays account for most late shipments</t>
  </si>
  <si>
    <t>US-Central has the lowest regional SLA (80.8%)</t>
  </si>
  <si>
    <t>Jul-26 reached 92.3% SLA</t>
  </si>
  <si>
    <t>● Medium</t>
  </si>
  <si>
    <t>● Ongoing</t>
  </si>
  <si>
    <t>● High</t>
  </si>
  <si>
    <t>🚚 Carrier</t>
  </si>
  <si>
    <t>🏭 Warehouse</t>
  </si>
  <si>
    <t>🌎 Buffer</t>
  </si>
  <si>
    <t>📦 Region</t>
  </si>
  <si>
    <t>📈 Network</t>
  </si>
  <si>
    <t>Ops Excellence</t>
  </si>
  <si>
    <t>Regional Manager</t>
  </si>
  <si>
    <t>Warehouse Manager</t>
  </si>
  <si>
    <t>Timeline</t>
  </si>
  <si>
    <t>Transport Lead</t>
  </si>
  <si>
    <r>
      <t xml:space="preserve">Put RailLink Logistics on a </t>
    </r>
    <r>
      <rPr>
        <b/>
        <sz val="13"/>
        <color theme="1"/>
        <rFont val="Segoe UI"/>
        <family val="2"/>
      </rPr>
      <t>90-day improvement plan</t>
    </r>
    <r>
      <rPr>
        <sz val="13"/>
        <color theme="1"/>
        <rFont val="Segoe UI"/>
        <family val="2"/>
      </rPr>
      <t xml:space="preserve"> and shift renewal volume toward </t>
    </r>
    <r>
      <rPr>
        <b/>
        <sz val="13"/>
        <color theme="1"/>
        <rFont val="Segoe UI"/>
        <family val="2"/>
      </rPr>
      <t>Swift Express</t>
    </r>
    <r>
      <rPr>
        <sz val="13"/>
        <color theme="1"/>
        <rFont val="Segoe UI"/>
        <family val="2"/>
      </rPr>
      <t>.</t>
    </r>
  </si>
  <si>
    <r>
      <t xml:space="preserve">Run a </t>
    </r>
    <r>
      <rPr>
        <b/>
        <sz val="13"/>
        <color theme="1"/>
        <rFont val="Segoe UI"/>
        <family val="2"/>
      </rPr>
      <t>root cause review</t>
    </r>
    <r>
      <rPr>
        <sz val="13"/>
        <color theme="1"/>
        <rFont val="Segoe UI"/>
        <family val="2"/>
      </rPr>
      <t>: Tacoma → Columbus → Atlanta.</t>
    </r>
  </si>
  <si>
    <r>
      <t>Evaluate</t>
    </r>
    <r>
      <rPr>
        <b/>
        <sz val="13"/>
        <color theme="1"/>
        <rFont val="Segoe UI"/>
        <family val="2"/>
      </rPr>
      <t xml:space="preserve"> +1 buffer day </t>
    </r>
    <r>
      <rPr>
        <sz val="13"/>
        <color theme="1"/>
        <rFont val="Segoe UI"/>
        <family val="2"/>
      </rPr>
      <t>on structurally late lanes.</t>
    </r>
  </si>
  <si>
    <r>
      <t xml:space="preserve">Rebalance </t>
    </r>
    <r>
      <rPr>
        <b/>
        <sz val="13"/>
        <color theme="1"/>
        <rFont val="Segoe UI"/>
        <family val="2"/>
      </rPr>
      <t>US-Central staffing and capacity</t>
    </r>
    <r>
      <rPr>
        <sz val="13"/>
        <color theme="1"/>
        <rFont val="Segoe UI"/>
        <family val="2"/>
      </rPr>
      <t>, and review its warehouse mix.</t>
    </r>
  </si>
  <si>
    <r>
      <t xml:space="preserve">Standardize Jul-26 practices; </t>
    </r>
    <r>
      <rPr>
        <b/>
        <sz val="13"/>
        <color theme="1"/>
        <rFont val="Segoe UI"/>
        <family val="2"/>
      </rPr>
      <t>monthly SLA review</t>
    </r>
    <r>
      <rPr>
        <sz val="13"/>
        <color theme="1"/>
        <rFont val="Segoe U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</si>
</sst>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8" formatCode="&quot;$&quot;#,##0.00_);[Red]\(&quot;$&quot;#,##0.00\)"/>
    <numFmt numFmtId="44" formatCode="_(&quot;$&quot;* #,##0.00_);_(&quot;$&quot;* \(#,##0.00\);_(&quot;$&quot;* &quot;-&quot;??_);_(@_)"/>
    <numFmt numFmtId="164" formatCode="&quot;$&quot;#,##0.00"/>
    <numFmt numFmtId="165" formatCode="0.00%;\-0.00%;0.00%"/>
    <numFmt numFmtId="166" formatCode="\$#,##0.00;\(\$#,##0.00\);\$#,##0.00"/>
    <numFmt numFmtId="167" formatCode="\$#,##0;\(\$#,##0\);\$#,##0"/>
    <numFmt numFmtId="168" formatCode="0.0%"/>
    <numFmt numFmtId="169" formatCode="_(&quot;$&quot;* #,##0_);_(&quot;$&quot;* \(#,##0\);_(&quot;$&quot;* &quot;-&quot;??_);_(@_)"/>
    <numFmt numFmtId="170" formatCode="&quot;$&quot;#,##0"/>
    <numFmt numFmtId="171" formatCode="&quot;$&quot;#,##0.000"/>
    <numFmt numFmtId="172" formatCode="[$-409]mmm\-yy;@"/>
    <numFmt numFmtId="173" formatCode="0.0%;\-0.0%;0.0%"/>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1"/>
      <color rgb="FFFF0000"/>
      <name val="Calibri"/>
      <family val="2"/>
      <scheme val="minor"/>
    </font>
    <font>
      <sz val="11"/>
      <color theme="8"/>
      <name val="Calibri"/>
      <family val="2"/>
      <scheme val="minor"/>
    </font>
    <font>
      <sz val="12"/>
      <color rgb="FFBA7517"/>
      <name val="Segoe UI"/>
      <family val="2"/>
    </font>
    <font>
      <sz val="10"/>
      <color rgb="FF7A7A7A"/>
      <name val="Segoe UI"/>
      <family val="2"/>
    </font>
    <font>
      <b/>
      <sz val="32"/>
      <color rgb="FF412402"/>
      <name val="Segoe UI"/>
      <family val="2"/>
    </font>
    <font>
      <b/>
      <sz val="32"/>
      <color theme="1"/>
      <name val="Segoe UI"/>
      <family val="2"/>
    </font>
    <font>
      <sz val="32"/>
      <color theme="1"/>
      <name val="Calibri"/>
      <family val="2"/>
      <scheme val="minor"/>
    </font>
    <font>
      <b/>
      <sz val="32"/>
      <color rgb="FFD64545"/>
      <name val="Segoe UI"/>
      <family val="2"/>
    </font>
    <font>
      <b/>
      <sz val="32"/>
      <color rgb="FF4B4B4B"/>
      <name val="Segoe UI"/>
      <family val="2"/>
    </font>
    <font>
      <b/>
      <sz val="32"/>
      <color rgb="FF2C2C2C"/>
      <name val="Segoe UI"/>
      <family val="2"/>
    </font>
    <font>
      <b/>
      <sz val="32"/>
      <color rgb="FF2E8B57"/>
      <name val="Segoe UI"/>
      <family val="2"/>
    </font>
    <font>
      <b/>
      <sz val="30"/>
      <color rgb="FF333333"/>
      <name val="Segoe UI"/>
      <family val="2"/>
    </font>
    <font>
      <b/>
      <sz val="12"/>
      <color rgb="FF2C2C2A"/>
      <name val="Segoe UI"/>
      <family val="2"/>
    </font>
    <font>
      <b/>
      <sz val="18"/>
      <color rgb="FF2C2C2A"/>
      <name val="Segoe UI"/>
      <family val="2"/>
    </font>
    <font>
      <b/>
      <sz val="18"/>
      <color theme="5" tint="-0.249977111117893"/>
      <name val="Segoe UI"/>
      <family val="2"/>
    </font>
    <font>
      <sz val="11"/>
      <color theme="1"/>
      <name val="Segoe UI"/>
      <family val="2"/>
    </font>
    <font>
      <b/>
      <sz val="11"/>
      <color theme="1"/>
      <name val="Segoe UI"/>
      <family val="2"/>
    </font>
    <font>
      <b/>
      <sz val="11"/>
      <color theme="5"/>
      <name val="Segoe UI"/>
      <family val="2"/>
    </font>
    <font>
      <b/>
      <sz val="11"/>
      <color theme="0"/>
      <name val="Segoe UI"/>
      <family val="2"/>
    </font>
    <font>
      <sz val="10"/>
      <color rgb="FF2C2C2A"/>
      <name val="Segoe UI"/>
      <family val="2"/>
    </font>
    <font>
      <sz val="13"/>
      <color theme="1"/>
      <name val="Segoe UI"/>
      <family val="2"/>
    </font>
    <font>
      <b/>
      <sz val="13"/>
      <color theme="1"/>
      <name val="Segoe UI"/>
      <family val="2"/>
    </font>
    <font>
      <b/>
      <sz val="12"/>
      <color rgb="FF6B6B6B"/>
      <name val="Segoe UI"/>
      <family val="2"/>
    </font>
    <font>
      <sz val="12"/>
      <color rgb="FF6B6B6B"/>
      <name val="Segoe UI"/>
      <family val="2"/>
    </font>
    <font>
      <sz val="12"/>
      <color rgb="FF6B6B6B"/>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7F6F3"/>
        <bgColor indexed="64"/>
      </patternFill>
    </fill>
    <fill>
      <patternFill patternType="solid">
        <fgColor rgb="FFBA7517"/>
        <bgColor indexed="64"/>
      </patternFill>
    </fill>
    <fill>
      <patternFill patternType="solid">
        <fgColor rgb="FFF8F8F8"/>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medium">
        <color rgb="FFBA7517"/>
      </bottom>
      <diagonal/>
    </border>
    <border>
      <left/>
      <right/>
      <top/>
      <bottom style="thin">
        <color rgb="FFBA7517"/>
      </bottom>
      <diagonal/>
    </border>
    <border>
      <left/>
      <right/>
      <top style="thin">
        <color theme="4" tint="0.39997558519241921"/>
      </top>
      <bottom/>
      <diagonal/>
    </border>
    <border>
      <left/>
      <right/>
      <top/>
      <bottom style="thin">
        <color rgb="FFE6E6E6"/>
      </bottom>
      <diagonal/>
    </border>
    <border>
      <left/>
      <right/>
      <top style="thin">
        <color rgb="FFE6E6E6"/>
      </top>
      <bottom style="thin">
        <color rgb="FFE6E6E6"/>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26">
    <xf numFmtId="0" fontId="0" fillId="0" borderId="0" xfId="0"/>
    <xf numFmtId="14" fontId="0" fillId="0" borderId="0" xfId="0" applyNumberFormat="1"/>
    <xf numFmtId="164" fontId="0" fillId="0" borderId="0" xfId="0" applyNumberFormat="1"/>
    <xf numFmtId="49" fontId="0" fillId="0" borderId="0" xfId="0" applyNumberFormat="1"/>
    <xf numFmtId="2" fontId="0" fillId="0" borderId="0" xfId="0" applyNumberFormat="1"/>
    <xf numFmtId="1" fontId="0" fillId="0" borderId="0" xfId="0" applyNumberFormat="1"/>
    <xf numFmtId="8" fontId="0" fillId="0" borderId="0" xfId="0" applyNumberFormat="1"/>
    <xf numFmtId="0" fontId="4" fillId="0" borderId="0" xfId="0" applyFont="1"/>
    <xf numFmtId="0" fontId="0" fillId="0" borderId="1" xfId="0" applyBorder="1"/>
    <xf numFmtId="0" fontId="4" fillId="2" borderId="1" xfId="0" applyFont="1" applyFill="1" applyBorder="1"/>
    <xf numFmtId="9" fontId="0" fillId="0" borderId="0" xfId="0" applyNumberFormat="1"/>
    <xf numFmtId="165" fontId="0" fillId="0" borderId="0" xfId="0" applyNumberFormat="1"/>
    <xf numFmtId="166" fontId="0" fillId="0" borderId="0" xfId="0" applyNumberFormat="1"/>
    <xf numFmtId="3" fontId="0" fillId="0" borderId="0" xfId="0" applyNumberFormat="1"/>
    <xf numFmtId="167" fontId="0" fillId="0" borderId="0" xfId="0" applyNumberFormat="1"/>
    <xf numFmtId="0" fontId="2" fillId="0" borderId="1" xfId="0" applyFont="1" applyBorder="1"/>
    <xf numFmtId="0" fontId="2" fillId="3" borderId="1" xfId="0" applyFont="1" applyFill="1" applyBorder="1"/>
    <xf numFmtId="0" fontId="2" fillId="4" borderId="1" xfId="0" applyFont="1" applyFill="1" applyBorder="1"/>
    <xf numFmtId="9" fontId="0" fillId="0" borderId="0" xfId="1" applyFont="1"/>
    <xf numFmtId="168" fontId="0" fillId="0" borderId="0" xfId="1" applyNumberFormat="1" applyFont="1"/>
    <xf numFmtId="168" fontId="0" fillId="0" borderId="0" xfId="0" applyNumberFormat="1"/>
    <xf numFmtId="0" fontId="5" fillId="0" borderId="1" xfId="0" applyFont="1" applyBorder="1"/>
    <xf numFmtId="168" fontId="1" fillId="0" borderId="1" xfId="1" applyNumberFormat="1" applyFont="1" applyBorder="1"/>
    <xf numFmtId="168" fontId="0" fillId="0" borderId="1" xfId="0" applyNumberFormat="1" applyBorder="1"/>
    <xf numFmtId="169" fontId="0" fillId="0" borderId="0" xfId="2" applyNumberFormat="1" applyFont="1"/>
    <xf numFmtId="168" fontId="2" fillId="0" borderId="1" xfId="1" applyNumberFormat="1" applyFont="1" applyBorder="1"/>
    <xf numFmtId="169" fontId="2" fillId="0" borderId="1" xfId="2" applyNumberFormat="1" applyFont="1" applyBorder="1"/>
    <xf numFmtId="168" fontId="0" fillId="0" borderId="1" xfId="1" applyNumberFormat="1" applyFont="1" applyBorder="1"/>
    <xf numFmtId="169" fontId="0" fillId="0" borderId="1" xfId="2" applyNumberFormat="1" applyFont="1" applyBorder="1"/>
    <xf numFmtId="0" fontId="2" fillId="2" borderId="1" xfId="0" applyFont="1" applyFill="1" applyBorder="1"/>
    <xf numFmtId="0" fontId="19" fillId="0" borderId="0" xfId="0" applyFont="1"/>
    <xf numFmtId="0" fontId="20" fillId="0" borderId="0" xfId="0" applyFont="1"/>
    <xf numFmtId="0" fontId="21" fillId="0" borderId="0" xfId="0" applyFont="1"/>
    <xf numFmtId="172" fontId="0" fillId="0" borderId="0" xfId="0" applyNumberFormat="1"/>
    <xf numFmtId="172" fontId="20" fillId="0" borderId="0" xfId="0" applyNumberFormat="1" applyFont="1"/>
    <xf numFmtId="9" fontId="19" fillId="0" borderId="0" xfId="1" applyFont="1"/>
    <xf numFmtId="171" fontId="19" fillId="0" borderId="0" xfId="0" applyNumberFormat="1" applyFont="1"/>
    <xf numFmtId="0" fontId="19" fillId="0" borderId="1" xfId="0" applyFont="1" applyBorder="1"/>
    <xf numFmtId="165" fontId="19" fillId="0" borderId="1" xfId="0" applyNumberFormat="1" applyFont="1" applyBorder="1"/>
    <xf numFmtId="0" fontId="19" fillId="0" borderId="0" xfId="0" pivotButton="1" applyFont="1"/>
    <xf numFmtId="9" fontId="20" fillId="2" borderId="0" xfId="1" applyFont="1" applyFill="1" applyBorder="1"/>
    <xf numFmtId="165" fontId="19" fillId="0" borderId="0" xfId="0" applyNumberFormat="1" applyFont="1"/>
    <xf numFmtId="1" fontId="19" fillId="0" borderId="0" xfId="0" applyNumberFormat="1" applyFont="1"/>
    <xf numFmtId="9" fontId="19" fillId="0" borderId="0" xfId="1" applyFont="1" applyBorder="1"/>
    <xf numFmtId="2" fontId="19" fillId="0" borderId="0" xfId="0" applyNumberFormat="1" applyFont="1"/>
    <xf numFmtId="1" fontId="19" fillId="0" borderId="1" xfId="0" applyNumberFormat="1" applyFont="1" applyBorder="1"/>
    <xf numFmtId="167" fontId="19" fillId="0" borderId="1" xfId="0" applyNumberFormat="1" applyFont="1" applyBorder="1"/>
    <xf numFmtId="2" fontId="19" fillId="0" borderId="1" xfId="0" applyNumberFormat="1" applyFont="1" applyBorder="1"/>
    <xf numFmtId="172" fontId="19" fillId="0" borderId="0" xfId="0" applyNumberFormat="1" applyFont="1"/>
    <xf numFmtId="172" fontId="19" fillId="0" borderId="0" xfId="0" pivotButton="1" applyNumberFormat="1" applyFont="1"/>
    <xf numFmtId="172" fontId="19" fillId="0" borderId="0" xfId="0" applyNumberFormat="1" applyFont="1" applyAlignment="1">
      <alignment horizontal="left"/>
    </xf>
    <xf numFmtId="172" fontId="19" fillId="0" borderId="0" xfId="0" applyNumberFormat="1" applyFont="1" applyAlignment="1">
      <alignment horizontal="left" indent="1"/>
    </xf>
    <xf numFmtId="173" fontId="19" fillId="0" borderId="1" xfId="0" applyNumberFormat="1" applyFont="1" applyBorder="1"/>
    <xf numFmtId="0" fontId="20" fillId="0" borderId="0" xfId="0" applyFont="1" applyAlignment="1">
      <alignment horizontal="center"/>
    </xf>
    <xf numFmtId="168" fontId="19" fillId="0" borderId="0" xfId="1" applyNumberFormat="1" applyFont="1"/>
    <xf numFmtId="168" fontId="20" fillId="0" borderId="0" xfId="1" applyNumberFormat="1" applyFont="1"/>
    <xf numFmtId="172" fontId="20" fillId="3" borderId="0" xfId="0" applyNumberFormat="1" applyFont="1" applyFill="1"/>
    <xf numFmtId="172" fontId="22" fillId="5" borderId="0" xfId="0" applyNumberFormat="1" applyFont="1" applyFill="1" applyBorder="1"/>
    <xf numFmtId="168" fontId="22" fillId="5" borderId="0" xfId="1" applyNumberFormat="1" applyFont="1" applyFill="1" applyBorder="1"/>
    <xf numFmtId="1" fontId="22" fillId="5" borderId="0" xfId="0" applyNumberFormat="1" applyFont="1" applyFill="1" applyBorder="1"/>
    <xf numFmtId="172" fontId="19" fillId="6" borderId="4" xfId="0" applyNumberFormat="1" applyFont="1" applyFill="1" applyBorder="1"/>
    <xf numFmtId="168" fontId="19" fillId="6" borderId="4" xfId="1" applyNumberFormat="1" applyFont="1" applyFill="1" applyBorder="1"/>
    <xf numFmtId="1" fontId="19" fillId="6" borderId="4" xfId="0" applyNumberFormat="1" applyFont="1" applyFill="1" applyBorder="1"/>
    <xf numFmtId="172" fontId="19" fillId="0" borderId="4" xfId="0" applyNumberFormat="1" applyFont="1" applyBorder="1"/>
    <xf numFmtId="168" fontId="19" fillId="0" borderId="4" xfId="1" applyNumberFormat="1" applyFont="1" applyBorder="1"/>
    <xf numFmtId="1" fontId="19" fillId="0" borderId="4" xfId="0" applyNumberFormat="1" applyFont="1" applyBorder="1"/>
    <xf numFmtId="1" fontId="19" fillId="0" borderId="0" xfId="1" applyNumberFormat="1" applyFont="1"/>
    <xf numFmtId="168" fontId="19" fillId="0" borderId="0" xfId="0" applyNumberFormat="1" applyFont="1"/>
    <xf numFmtId="168" fontId="22" fillId="5" borderId="0" xfId="0" applyNumberFormat="1" applyFont="1" applyFill="1" applyBorder="1"/>
    <xf numFmtId="168" fontId="19" fillId="6" borderId="4" xfId="0" applyNumberFormat="1" applyFont="1" applyFill="1" applyBorder="1"/>
    <xf numFmtId="168" fontId="19" fillId="0" borderId="4" xfId="0" applyNumberFormat="1" applyFont="1" applyBorder="1"/>
    <xf numFmtId="0" fontId="19" fillId="0" borderId="0" xfId="0" applyFont="1" applyBorder="1"/>
    <xf numFmtId="168" fontId="19" fillId="0" borderId="0" xfId="0" applyNumberFormat="1" applyFont="1" applyBorder="1"/>
    <xf numFmtId="1" fontId="19" fillId="0" borderId="0" xfId="0" applyNumberFormat="1" applyFont="1" applyBorder="1"/>
    <xf numFmtId="168" fontId="19" fillId="0" borderId="1" xfId="0" applyNumberFormat="1" applyFont="1" applyBorder="1"/>
    <xf numFmtId="171" fontId="19" fillId="0" borderId="0" xfId="0" applyNumberFormat="1" applyFont="1" applyBorder="1"/>
    <xf numFmtId="165" fontId="19" fillId="0" borderId="0" xfId="0" applyNumberFormat="1" applyFont="1" applyBorder="1"/>
    <xf numFmtId="2" fontId="19" fillId="0" borderId="0" xfId="0" applyNumberFormat="1" applyFont="1" applyBorder="1"/>
    <xf numFmtId="166" fontId="19" fillId="0" borderId="0" xfId="0" applyNumberFormat="1" applyFont="1" applyBorder="1"/>
    <xf numFmtId="170" fontId="19" fillId="6" borderId="4" xfId="0" applyNumberFormat="1" applyFont="1" applyFill="1" applyBorder="1"/>
    <xf numFmtId="9" fontId="19" fillId="6" borderId="4" xfId="0" applyNumberFormat="1" applyFont="1" applyFill="1" applyBorder="1"/>
    <xf numFmtId="170" fontId="19" fillId="0" borderId="4" xfId="0" applyNumberFormat="1" applyFont="1" applyBorder="1"/>
    <xf numFmtId="9" fontId="19" fillId="0" borderId="4" xfId="0" applyNumberFormat="1" applyFont="1" applyBorder="1"/>
    <xf numFmtId="0" fontId="22" fillId="5" borderId="0" xfId="0" applyFont="1" applyFill="1" applyBorder="1"/>
    <xf numFmtId="10" fontId="19" fillId="0" borderId="4" xfId="0" applyNumberFormat="1" applyFont="1" applyBorder="1"/>
    <xf numFmtId="10" fontId="19" fillId="6" borderId="4" xfId="0" applyNumberFormat="1" applyFont="1" applyFill="1" applyBorder="1"/>
    <xf numFmtId="0" fontId="0" fillId="7" borderId="0" xfId="0" applyFill="1"/>
    <xf numFmtId="0" fontId="15" fillId="7" borderId="0" xfId="0" applyFont="1" applyFill="1" applyAlignment="1">
      <alignment horizontal="left" vertical="center"/>
    </xf>
    <xf numFmtId="0" fontId="7" fillId="7" borderId="0" xfId="0" applyFont="1" applyFill="1" applyAlignment="1">
      <alignment horizontal="left" vertical="center"/>
    </xf>
    <xf numFmtId="0" fontId="0" fillId="7" borderId="2" xfId="0" applyFill="1" applyBorder="1"/>
    <xf numFmtId="168" fontId="8" fillId="7" borderId="0" xfId="1" applyNumberFormat="1" applyFont="1" applyFill="1" applyBorder="1" applyAlignment="1">
      <alignment horizontal="center" vertical="center"/>
    </xf>
    <xf numFmtId="0" fontId="9" fillId="7" borderId="0" xfId="0" applyFont="1" applyFill="1" applyAlignment="1">
      <alignment vertical="center"/>
    </xf>
    <xf numFmtId="168" fontId="11" fillId="7" borderId="0" xfId="1" applyNumberFormat="1" applyFont="1" applyFill="1" applyAlignment="1">
      <alignment horizontal="center" vertical="center"/>
    </xf>
    <xf numFmtId="0" fontId="9" fillId="7" borderId="0" xfId="0" applyFont="1" applyFill="1" applyAlignment="1">
      <alignment horizontal="center" vertical="center"/>
    </xf>
    <xf numFmtId="1" fontId="12" fillId="7" borderId="0" xfId="0" applyNumberFormat="1" applyFont="1" applyFill="1" applyAlignment="1">
      <alignment horizontal="center" vertical="center"/>
    </xf>
    <xf numFmtId="0" fontId="12" fillId="7" borderId="0" xfId="0" applyFont="1" applyFill="1" applyAlignment="1">
      <alignment horizontal="center" vertical="center"/>
    </xf>
    <xf numFmtId="170" fontId="13" fillId="7" borderId="0" xfId="2" applyNumberFormat="1" applyFont="1" applyFill="1" applyAlignment="1">
      <alignment horizontal="center" vertical="center"/>
    </xf>
    <xf numFmtId="0" fontId="10" fillId="7" borderId="0" xfId="0" applyFont="1" applyFill="1"/>
    <xf numFmtId="168" fontId="14" fillId="7" borderId="0" xfId="1" applyNumberFormat="1" applyFont="1" applyFill="1" applyAlignment="1">
      <alignment horizontal="center" vertical="center"/>
    </xf>
    <xf numFmtId="0" fontId="6" fillId="7" borderId="0" xfId="0" applyFont="1" applyFill="1" applyAlignment="1">
      <alignment horizontal="left" vertical="center" indent="2"/>
    </xf>
    <xf numFmtId="0" fontId="17" fillId="7" borderId="3" xfId="0" applyFont="1" applyFill="1" applyBorder="1" applyAlignment="1">
      <alignment horizontal="left" vertical="center"/>
    </xf>
    <xf numFmtId="0" fontId="16" fillId="7" borderId="0" xfId="0" applyFont="1" applyFill="1" applyAlignment="1">
      <alignment horizontal="left" vertical="center"/>
    </xf>
    <xf numFmtId="10" fontId="19" fillId="0" borderId="0" xfId="0" applyNumberFormat="1" applyFont="1"/>
    <xf numFmtId="0" fontId="23" fillId="7" borderId="0" xfId="0" applyFont="1" applyFill="1"/>
    <xf numFmtId="0" fontId="19" fillId="0" borderId="0" xfId="0" applyNumberFormat="1" applyFont="1"/>
    <xf numFmtId="0" fontId="19" fillId="0" borderId="0" xfId="0" applyFont="1" applyAlignment="1">
      <alignment wrapText="1"/>
    </xf>
    <xf numFmtId="1" fontId="19" fillId="0" borderId="0" xfId="1" applyNumberFormat="1" applyFont="1" applyAlignment="1">
      <alignment wrapText="1"/>
    </xf>
    <xf numFmtId="49" fontId="24" fillId="8" borderId="0" xfId="0" applyNumberFormat="1" applyFont="1" applyFill="1" applyBorder="1"/>
    <xf numFmtId="49" fontId="24" fillId="8" borderId="0" xfId="0" applyNumberFormat="1" applyFont="1" applyFill="1" applyBorder="1" applyAlignment="1">
      <alignment wrapText="1"/>
    </xf>
    <xf numFmtId="49" fontId="24" fillId="0" borderId="5" xfId="0" applyNumberFormat="1" applyFont="1" applyBorder="1" applyAlignment="1">
      <alignment horizontal="center" vertical="center"/>
    </xf>
    <xf numFmtId="49" fontId="24" fillId="9" borderId="5" xfId="0" applyNumberFormat="1" applyFont="1" applyFill="1" applyBorder="1" applyAlignment="1">
      <alignment horizontal="left" vertical="center"/>
    </xf>
    <xf numFmtId="49" fontId="24" fillId="9" borderId="5" xfId="0" applyNumberFormat="1" applyFont="1" applyFill="1" applyBorder="1" applyAlignment="1">
      <alignment horizontal="center" vertical="center" wrapText="1"/>
    </xf>
    <xf numFmtId="49" fontId="24" fillId="9" borderId="5" xfId="0" applyNumberFormat="1" applyFont="1" applyFill="1" applyBorder="1" applyAlignment="1">
      <alignment horizontal="left" vertical="center" wrapText="1"/>
    </xf>
    <xf numFmtId="49" fontId="24" fillId="0" borderId="6" xfId="0" applyNumberFormat="1" applyFont="1" applyBorder="1" applyAlignment="1">
      <alignment horizontal="center" vertical="center"/>
    </xf>
    <xf numFmtId="49" fontId="24" fillId="9" borderId="6" xfId="0" applyNumberFormat="1" applyFont="1" applyFill="1" applyBorder="1" applyAlignment="1">
      <alignment horizontal="left" vertical="center"/>
    </xf>
    <xf numFmtId="49" fontId="24" fillId="9" borderId="6" xfId="0" applyNumberFormat="1" applyFont="1" applyFill="1" applyBorder="1" applyAlignment="1">
      <alignment horizontal="center" vertical="center" wrapText="1"/>
    </xf>
    <xf numFmtId="49" fontId="24" fillId="9" borderId="6" xfId="0" applyNumberFormat="1" applyFont="1" applyFill="1" applyBorder="1" applyAlignment="1">
      <alignment horizontal="left" vertical="center" wrapText="1"/>
    </xf>
    <xf numFmtId="0" fontId="24" fillId="9" borderId="6" xfId="0" applyFont="1" applyFill="1" applyBorder="1" applyAlignment="1">
      <alignment horizontal="left" vertical="center" wrapText="1"/>
    </xf>
    <xf numFmtId="49" fontId="24" fillId="9" borderId="6" xfId="1" applyNumberFormat="1" applyFont="1" applyFill="1" applyBorder="1" applyAlignment="1">
      <alignment horizontal="center" vertical="center" wrapText="1"/>
    </xf>
    <xf numFmtId="0" fontId="26" fillId="7" borderId="0" xfId="0" applyFont="1" applyFill="1" applyAlignment="1">
      <alignment horizontal="center" vertical="center"/>
    </xf>
    <xf numFmtId="10" fontId="26" fillId="7" borderId="0" xfId="1" applyNumberFormat="1" applyFont="1" applyFill="1" applyAlignment="1">
      <alignment horizontal="right" vertical="center"/>
    </xf>
    <xf numFmtId="10" fontId="26" fillId="7" borderId="0" xfId="1" applyNumberFormat="1" applyFont="1" applyFill="1" applyAlignment="1">
      <alignment vertical="center"/>
    </xf>
    <xf numFmtId="0" fontId="27" fillId="7" borderId="0" xfId="0" applyFont="1" applyFill="1" applyAlignment="1">
      <alignment horizontal="center" vertical="center"/>
    </xf>
    <xf numFmtId="0" fontId="26" fillId="7" borderId="0" xfId="0" applyFont="1" applyFill="1" applyAlignment="1">
      <alignment vertical="center"/>
    </xf>
    <xf numFmtId="0" fontId="27" fillId="7" borderId="0" xfId="0" applyFont="1" applyFill="1" applyAlignment="1">
      <alignment vertical="center"/>
    </xf>
    <xf numFmtId="0" fontId="28" fillId="7" borderId="0" xfId="0" applyFont="1" applyFill="1"/>
  </cellXfs>
  <cellStyles count="3">
    <cellStyle name="Currency" xfId="2" builtinId="4"/>
    <cellStyle name="Normal" xfId="0" builtinId="0"/>
    <cellStyle name="Percent" xfId="1" builtinId="5"/>
  </cellStyles>
  <dxfs count="142">
    <dxf>
      <font>
        <b/>
        <i val="0"/>
        <sz val="12"/>
        <color rgb="FF333333"/>
        <name val="Segoe UI"/>
        <family val="2"/>
      </font>
      <border>
        <bottom style="thin">
          <color rgb="FFD9D9D9"/>
        </bottom>
      </border>
    </dxf>
    <dxf>
      <font>
        <b val="0"/>
        <i val="0"/>
        <sz val="12"/>
        <name val="Segoe UI"/>
        <family val="2"/>
        <scheme val="none"/>
      </font>
      <fill>
        <patternFill>
          <bgColor rgb="FFF7F6F3"/>
        </patternFill>
      </fill>
      <border diagonalUp="0" diagonalDown="0">
        <left/>
        <right/>
        <top/>
        <bottom/>
        <vertical/>
        <horizontal/>
      </border>
    </dxf>
    <dxf>
      <fill>
        <patternFill>
          <bgColor rgb="FF00B050"/>
        </patternFill>
      </fill>
    </dxf>
    <dxf>
      <fill>
        <patternFill>
          <bgColor rgb="FFFF0000"/>
        </patternFill>
      </fill>
    </dxf>
    <dxf>
      <font>
        <b/>
        <i val="0"/>
        <color rgb="FF2E7D32"/>
      </font>
      <fill>
        <patternFill>
          <bgColor rgb="FFDFF3E3"/>
        </patternFill>
      </fill>
      <border>
        <left style="thin">
          <color rgb="FF81C784"/>
        </left>
        <right style="thin">
          <color rgb="FF81C784"/>
        </right>
        <top style="thin">
          <color rgb="FF81C784"/>
        </top>
        <bottom style="thin">
          <color rgb="FF81C784"/>
        </bottom>
        <vertical/>
        <horizontal/>
      </border>
    </dxf>
    <dxf>
      <font>
        <b/>
        <i val="0"/>
        <color rgb="FFBA7517"/>
      </font>
      <fill>
        <patternFill>
          <bgColor rgb="FFFCE8D5"/>
        </patternFill>
      </fill>
      <border>
        <left style="thin">
          <color rgb="FFE0A458"/>
        </left>
        <right style="thin">
          <color rgb="FFE0A458"/>
        </right>
        <top style="thin">
          <color rgb="FFE0A458"/>
        </top>
        <bottom style="thin">
          <color rgb="FFE0A458"/>
        </bottom>
        <vertical/>
        <horizontal/>
      </border>
    </dxf>
    <dxf>
      <font>
        <b/>
        <i val="0"/>
        <color rgb="FFA61B1B"/>
      </font>
      <fill>
        <patternFill>
          <bgColor rgb="FFF8D7DA"/>
        </patternFill>
      </fill>
      <border>
        <left style="thin">
          <color rgb="FFE57373"/>
        </left>
        <right style="thin">
          <color rgb="FFE57373"/>
        </right>
        <top style="thin">
          <color rgb="FFE57373"/>
        </top>
        <bottom style="thin">
          <color rgb="FFE57373"/>
        </bottom>
        <vertical/>
        <horizontal/>
      </border>
    </dxf>
    <dxf>
      <font>
        <b/>
        <i val="0"/>
        <color rgb="FFA61B1B"/>
      </font>
      <fill>
        <patternFill>
          <bgColor rgb="FFF8D7DA"/>
        </patternFill>
      </fill>
      <border>
        <left style="thin">
          <color rgb="FFE57373"/>
        </left>
        <right style="thin">
          <color rgb="FFE57373"/>
        </right>
        <top style="thin">
          <color rgb="FFE57373"/>
        </top>
        <bottom style="thin">
          <color rgb="FFE57373"/>
        </bottom>
        <vertical/>
        <horizontal/>
      </border>
    </dxf>
    <dxf>
      <font>
        <b/>
        <i val="0"/>
        <color rgb="FFBA7517"/>
      </font>
      <fill>
        <patternFill>
          <bgColor rgb="FFFCE8D5"/>
        </patternFill>
      </fill>
      <border>
        <left style="thin">
          <color rgb="FFE0A458"/>
        </left>
        <right style="thin">
          <color rgb="FFE0A458"/>
        </right>
        <top style="thin">
          <color rgb="FFE0A458"/>
        </top>
        <bottom style="thin">
          <color rgb="FFE0A458"/>
        </bottom>
        <vertical/>
        <horizontal/>
      </border>
    </dxf>
    <dxf>
      <font>
        <b/>
        <i val="0"/>
        <color rgb="FF2E7D32"/>
      </font>
      <fill>
        <patternFill>
          <bgColor rgb="FFDFF3E3"/>
        </patternFill>
      </fill>
      <border>
        <left style="thin">
          <color rgb="FF81C784"/>
        </left>
        <right style="thin">
          <color rgb="FF81C784"/>
        </right>
        <top style="thin">
          <color rgb="FF81C784"/>
        </top>
        <bottom style="thin">
          <color rgb="FF81C784"/>
        </bottom>
        <vertical/>
        <horizontal/>
      </border>
    </dxf>
    <dxf>
      <font>
        <b/>
        <i val="0"/>
        <color rgb="FFA61B1B"/>
      </font>
      <fill>
        <patternFill>
          <bgColor rgb="FFF8D7DA"/>
        </patternFill>
      </fill>
      <border>
        <left style="thin">
          <color rgb="FFE57373"/>
        </left>
        <right style="thin">
          <color rgb="FFE57373"/>
        </right>
        <top style="thin">
          <color rgb="FFE57373"/>
        </top>
        <bottom style="thin">
          <color rgb="FFE57373"/>
        </bottom>
        <vertical/>
        <horizontal/>
      </border>
    </dxf>
    <dxf>
      <font>
        <b/>
        <i val="0"/>
        <color rgb="FFBA7517"/>
      </font>
      <fill>
        <patternFill>
          <bgColor rgb="FFFCE8D5"/>
        </patternFill>
      </fill>
      <border>
        <left style="thin">
          <color rgb="FFE0A458"/>
        </left>
        <right style="thin">
          <color rgb="FFE0A458"/>
        </right>
        <top style="thin">
          <color rgb="FFE0A458"/>
        </top>
        <bottom style="thin">
          <color rgb="FFE0A458"/>
        </bottom>
        <vertical/>
        <horizontal/>
      </border>
    </dxf>
    <dxf>
      <font>
        <b/>
        <i val="0"/>
        <color rgb="FF2E7D32"/>
      </font>
      <fill>
        <patternFill>
          <bgColor rgb="FFDFF3E3"/>
        </patternFill>
      </fill>
      <border>
        <left style="thin">
          <color rgb="FF81C784"/>
        </left>
        <right style="thin">
          <color rgb="FF81C784"/>
        </right>
        <top style="thin">
          <color rgb="FF81C784"/>
        </top>
        <bottom style="thin">
          <color rgb="FF81C784"/>
        </bottom>
        <vertical/>
        <horizontal/>
      </border>
    </dxf>
    <dxf>
      <font>
        <b/>
        <i val="0"/>
        <color rgb="FFA61B1B"/>
      </font>
      <fill>
        <patternFill>
          <bgColor rgb="FFF8D7DA"/>
        </patternFill>
      </fill>
      <border>
        <left style="thin">
          <color rgb="FFE57373"/>
        </left>
        <right style="thin">
          <color rgb="FFE57373"/>
        </right>
        <top style="thin">
          <color rgb="FFE57373"/>
        </top>
        <bottom style="thin">
          <color rgb="FFE57373"/>
        </bottom>
        <vertical/>
        <horizontal/>
      </border>
    </dxf>
    <dxf>
      <font>
        <b/>
        <i val="0"/>
        <color rgb="FFBA7517"/>
      </font>
      <fill>
        <patternFill>
          <bgColor rgb="FFFCE8D5"/>
        </patternFill>
      </fill>
      <border>
        <left style="thin">
          <color rgb="FFE0A458"/>
        </left>
        <right style="thin">
          <color rgb="FFE0A458"/>
        </right>
        <top style="thin">
          <color rgb="FFE0A458"/>
        </top>
        <bottom style="thin">
          <color rgb="FFE0A458"/>
        </bottom>
        <vertical/>
        <horizontal/>
      </border>
    </dxf>
    <dxf>
      <font>
        <b/>
        <i val="0"/>
        <color rgb="FF2E7D32"/>
      </font>
      <fill>
        <patternFill>
          <bgColor rgb="FFDFF3E3"/>
        </patternFill>
      </fill>
      <border>
        <left style="thin">
          <color rgb="FF81C784"/>
        </left>
        <right style="thin">
          <color rgb="FF81C784"/>
        </right>
        <top style="thin">
          <color rgb="FF81C784"/>
        </top>
        <bottom style="thin">
          <color rgb="FF81C784"/>
        </bottom>
        <vertical/>
        <horizontal/>
      </border>
    </dxf>
    <dxf>
      <font>
        <b/>
        <i val="0"/>
        <color rgb="FF274E13"/>
      </font>
      <fill>
        <patternFill patternType="solid">
          <fgColor indexed="64"/>
          <bgColor rgb="FFD9EAD3"/>
        </patternFill>
      </fill>
    </dxf>
    <dxf>
      <font>
        <b/>
        <i val="0"/>
        <color rgb="FFB45309"/>
      </font>
      <fill>
        <patternFill patternType="solid">
          <fgColor indexed="64"/>
          <bgColor rgb="FFFCE5CD"/>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B45309"/>
      </font>
      <fill>
        <patternFill patternType="solid">
          <fgColor indexed="64"/>
          <bgColor rgb="FFFCE5CD"/>
        </patternFill>
      </fill>
    </dxf>
    <dxf>
      <font>
        <b/>
        <i val="0"/>
        <color rgb="FF9C0006"/>
      </font>
      <fill>
        <patternFill patternType="solid">
          <fgColor indexed="64"/>
          <bgColor rgb="FFF4CCCC"/>
        </patternFill>
      </fill>
    </dxf>
    <dxf>
      <font>
        <b val="0"/>
        <i val="0"/>
        <strike val="0"/>
        <condense val="0"/>
        <extend val="0"/>
        <outline val="0"/>
        <shadow val="0"/>
        <u val="none"/>
        <vertAlign val="baseline"/>
        <sz val="13"/>
        <color theme="1"/>
        <name val="Segoe UI"/>
        <family val="2"/>
        <scheme val="none"/>
      </font>
      <numFmt numFmtId="30" formatCode="@"/>
    </dxf>
    <dxf>
      <font>
        <strike val="0"/>
        <outline val="0"/>
        <shadow val="0"/>
        <u val="none"/>
        <vertAlign val="baseline"/>
        <sz val="13"/>
        <color theme="1"/>
        <name val="Segoe UI"/>
        <family val="2"/>
        <scheme val="none"/>
      </font>
      <numFmt numFmtId="30" formatCode="@"/>
    </dxf>
    <dxf>
      <font>
        <b val="0"/>
        <i val="0"/>
        <strike val="0"/>
        <condense val="0"/>
        <extend val="0"/>
        <outline val="0"/>
        <shadow val="0"/>
        <u val="none"/>
        <vertAlign val="baseline"/>
        <sz val="13"/>
        <color theme="1"/>
        <name val="Segoe UI"/>
        <family val="2"/>
        <scheme val="none"/>
      </font>
      <numFmt numFmtId="30" formatCode="@"/>
      <fill>
        <patternFill patternType="solid">
          <fgColor indexed="64"/>
          <bgColor rgb="FFBA7517"/>
        </patternFill>
      </fill>
    </dxf>
    <dxf>
      <font>
        <b val="0"/>
        <i val="0"/>
        <strike val="0"/>
        <condense val="0"/>
        <extend val="0"/>
        <outline val="0"/>
        <shadow val="0"/>
        <u val="none"/>
        <vertAlign val="baseline"/>
        <sz val="13"/>
        <color theme="1"/>
        <name val="Segoe UI"/>
        <family val="2"/>
        <scheme val="none"/>
      </font>
      <numFmt numFmtId="30" formatCode="@"/>
      <fill>
        <patternFill patternType="solid">
          <fgColor indexed="64"/>
          <bgColor rgb="FFF8F8F8"/>
        </patternFill>
      </fill>
      <alignment horizontal="center" vertical="center" textRotation="0" wrapText="1" indent="0" justifyLastLine="0" shrinkToFit="0" readingOrder="0"/>
    </dxf>
    <dxf>
      <font>
        <b val="0"/>
        <i val="0"/>
        <strike val="0"/>
        <condense val="0"/>
        <extend val="0"/>
        <outline val="0"/>
        <shadow val="0"/>
        <u val="none"/>
        <vertAlign val="baseline"/>
        <sz val="13"/>
        <color theme="1"/>
        <name val="Segoe UI"/>
        <family val="2"/>
        <scheme val="none"/>
      </font>
      <numFmt numFmtId="30" formatCode="@"/>
      <fill>
        <patternFill patternType="solid">
          <fgColor indexed="64"/>
          <bgColor rgb="FFF8F8F8"/>
        </patternFill>
      </fill>
      <alignment horizontal="center" vertical="center" textRotation="0" wrapText="1" indent="0" justifyLastLine="0" shrinkToFit="0" readingOrder="0"/>
    </dxf>
    <dxf>
      <font>
        <b val="0"/>
        <i val="0"/>
        <strike val="0"/>
        <condense val="0"/>
        <extend val="0"/>
        <outline val="0"/>
        <shadow val="0"/>
        <u val="none"/>
        <vertAlign val="baseline"/>
        <sz val="13"/>
        <color theme="1"/>
        <name val="Segoe UI"/>
        <family val="2"/>
        <scheme val="none"/>
      </font>
      <numFmt numFmtId="30" formatCode="@"/>
      <fill>
        <patternFill patternType="solid">
          <fgColor indexed="64"/>
          <bgColor rgb="FFF8F8F8"/>
        </patternFill>
      </fill>
      <alignment horizontal="left" vertical="center" textRotation="0" wrapText="1" indent="0" justifyLastLine="0" shrinkToFit="0" readingOrder="0"/>
    </dxf>
    <dxf>
      <font>
        <b val="0"/>
        <i val="0"/>
        <strike val="0"/>
        <condense val="0"/>
        <extend val="0"/>
        <outline val="0"/>
        <shadow val="0"/>
        <u val="none"/>
        <vertAlign val="baseline"/>
        <sz val="13"/>
        <color theme="1"/>
        <name val="Segoe UI"/>
        <family val="2"/>
        <scheme val="none"/>
      </font>
      <numFmt numFmtId="30" formatCode="@"/>
      <fill>
        <patternFill patternType="solid">
          <fgColor indexed="64"/>
          <bgColor rgb="FFF8F8F8"/>
        </patternFill>
      </fill>
      <alignment horizontal="center" vertical="center" textRotation="0" wrapText="1" indent="0" justifyLastLine="0" shrinkToFit="0" readingOrder="0"/>
    </dxf>
    <dxf>
      <font>
        <b val="0"/>
        <i val="0"/>
        <strike val="0"/>
        <condense val="0"/>
        <extend val="0"/>
        <outline val="0"/>
        <shadow val="0"/>
        <u val="none"/>
        <vertAlign val="baseline"/>
        <sz val="13"/>
        <color theme="1"/>
        <name val="Segoe UI"/>
        <family val="2"/>
        <scheme val="none"/>
      </font>
      <numFmt numFmtId="30" formatCode="@"/>
      <fill>
        <patternFill patternType="solid">
          <fgColor indexed="64"/>
          <bgColor rgb="FFF8F8F8"/>
        </patternFill>
      </fill>
      <alignment horizontal="left" vertical="center" textRotation="0" wrapText="0" indent="0" justifyLastLine="0" shrinkToFit="0" readingOrder="0"/>
    </dxf>
    <dxf>
      <font>
        <b val="0"/>
        <i val="0"/>
        <strike val="0"/>
        <condense val="0"/>
        <extend val="0"/>
        <outline val="0"/>
        <shadow val="0"/>
        <u val="none"/>
        <vertAlign val="baseline"/>
        <sz val="13"/>
        <color theme="1"/>
        <name val="Segoe UI"/>
        <family val="2"/>
        <scheme val="none"/>
      </font>
      <numFmt numFmtId="30" formatCode="@"/>
      <alignment horizontal="center" vertical="center" textRotation="0" wrapText="0" indent="0" justifyLastLine="0" shrinkToFit="0" readingOrder="0"/>
    </dxf>
    <dxf>
      <border diagonalUp="0" diagonalDown="0">
        <left style="thin">
          <color rgb="FFD9D9D9"/>
        </left>
        <right style="thin">
          <color rgb="FFD9D9D9"/>
        </right>
        <top style="thin">
          <color rgb="FFD9D9D9"/>
        </top>
        <bottom style="thin">
          <color rgb="FFD9D9D9"/>
        </bottom>
      </border>
    </dxf>
    <dxf>
      <numFmt numFmtId="168" formatCode="0.0%"/>
    </dxf>
    <dxf>
      <numFmt numFmtId="14" formatCode="0.00%"/>
    </dxf>
    <dxf>
      <font>
        <b val="0"/>
        <i val="0"/>
        <strike val="0"/>
        <condense val="0"/>
        <extend val="0"/>
        <outline val="0"/>
        <shadow val="0"/>
        <u val="none"/>
        <vertAlign val="baseline"/>
        <sz val="11"/>
        <color theme="1"/>
        <name val="Segoe UI"/>
        <family val="2"/>
        <scheme val="none"/>
      </font>
      <numFmt numFmtId="14" formatCode="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Segoe UI"/>
        <family val="2"/>
        <scheme val="none"/>
      </font>
      <numFmt numFmtId="168" formatCode="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Segoe UI"/>
        <family val="2"/>
        <scheme val="none"/>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Segoe UI"/>
        <family val="2"/>
        <scheme val="none"/>
      </font>
      <numFmt numFmtId="1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Segoe UI"/>
        <family val="2"/>
        <scheme val="none"/>
      </font>
      <numFmt numFmtId="168"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Segoe UI"/>
        <family val="2"/>
        <scheme val="none"/>
      </font>
      <numFmt numFmtId="170" formatCode="&quot;$&quot;#,##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Segoe UI"/>
        <family val="2"/>
        <scheme val="none"/>
      </font>
      <numFmt numFmtId="1"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Segoe UI"/>
        <family val="2"/>
        <scheme val="none"/>
      </font>
      <numFmt numFmtId="168" formatCode="0.0%"/>
    </dxf>
    <dxf>
      <font>
        <b val="0"/>
        <i val="0"/>
        <strike val="0"/>
        <condense val="0"/>
        <extend val="0"/>
        <outline val="0"/>
        <shadow val="0"/>
        <u val="none"/>
        <vertAlign val="baseline"/>
        <sz val="11"/>
        <color theme="1"/>
        <name val="Segoe UI"/>
        <family val="2"/>
        <scheme val="none"/>
      </font>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scheme val="none"/>
      </font>
    </dxf>
    <dxf>
      <font>
        <name val="Segoe UI"/>
        <scheme val="none"/>
      </font>
    </dxf>
    <dxf>
      <font>
        <name val="Segoe UI"/>
        <scheme val="none"/>
      </font>
    </dxf>
    <dxf>
      <font>
        <name val="Segoe UI"/>
        <scheme val="none"/>
      </font>
    </dxf>
    <dxf>
      <numFmt numFmtId="14" formatCode="0.00%"/>
    </dxf>
    <dxf>
      <numFmt numFmtId="168" formatCode="0.0%"/>
    </dxf>
    <dxf>
      <numFmt numFmtId="14" formatCode="0.00%"/>
    </dxf>
    <dxf>
      <font>
        <b/>
        <i val="0"/>
        <strike val="0"/>
        <condense val="0"/>
        <extend val="0"/>
        <outline val="0"/>
        <shadow val="0"/>
        <u val="none"/>
        <vertAlign val="baseline"/>
        <sz val="11"/>
        <color theme="0"/>
        <name val="Segoe UI"/>
        <family val="2"/>
        <scheme val="none"/>
      </font>
      <numFmt numFmtId="168" formatCode="0.0%"/>
      <fill>
        <patternFill patternType="solid">
          <fgColor theme="4"/>
          <bgColor theme="4"/>
        </patternFill>
      </fill>
    </dxf>
    <dxf>
      <font>
        <b val="0"/>
        <i val="0"/>
        <strike val="0"/>
        <condense val="0"/>
        <extend val="0"/>
        <outline val="0"/>
        <shadow val="0"/>
        <u val="none"/>
        <vertAlign val="baseline"/>
        <sz val="11"/>
        <color theme="1"/>
        <name val="Segoe UI"/>
        <family val="2"/>
        <scheme val="none"/>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Segoe UI"/>
        <family val="2"/>
        <scheme val="none"/>
      </font>
      <numFmt numFmtId="168"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Segoe UI"/>
        <family val="2"/>
        <scheme val="none"/>
      </font>
      <numFmt numFmtId="172" formatCode="[$-409]mmm\-yy;@"/>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numFmt numFmtId="168" formatCode="0.0%"/>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numFmt numFmtId="168" formatCode="0.0%"/>
    </dxf>
    <dxf>
      <font>
        <strike val="0"/>
        <outline val="0"/>
        <shadow val="0"/>
        <u val="none"/>
        <vertAlign val="baseline"/>
        <sz val="11"/>
        <name val="Segoe UI"/>
        <family val="2"/>
        <scheme val="none"/>
      </font>
      <numFmt numFmtId="172" formatCode="[$-409]mmm\-yy;@"/>
    </dxf>
    <dxf>
      <numFmt numFmtId="168" formatCode="0.0%"/>
    </dxf>
    <dxf>
      <numFmt numFmtId="168" formatCode="0.0%"/>
    </dxf>
    <dxf>
      <border outline="0">
        <left style="thin">
          <color theme="4" tint="0.39997558519241921"/>
        </left>
        <right style="thin">
          <color theme="4" tint="0.39997558519241921"/>
        </right>
        <top style="thin">
          <color theme="4" tint="0.39997558519241921"/>
        </top>
        <bottom style="thin">
          <color theme="4" tint="0.39997558519241921"/>
        </bottom>
      </border>
    </dxf>
    <dxf>
      <numFmt numFmtId="171" formatCode="&quot;$&quot;#,##0.000"/>
    </dxf>
    <dxf>
      <numFmt numFmtId="171" formatCode="&quot;$&quot;#,##0.000"/>
    </dxf>
    <dxf>
      <numFmt numFmtId="167" formatCode="\$#,##0;\(\$#,##0\);\$#,##0"/>
    </dxf>
    <dxf>
      <numFmt numFmtId="3" formatCode="#,##0"/>
    </dxf>
    <dxf>
      <numFmt numFmtId="3" formatCode="#,##0"/>
    </dxf>
    <dxf>
      <numFmt numFmtId="19" formatCode="m/d/yyyy"/>
    </dxf>
    <dxf>
      <numFmt numFmtId="19" formatCode="m/d/yyyy"/>
    </dxf>
    <dxf>
      <numFmt numFmtId="19" formatCode="m/d/yyyy"/>
    </dxf>
    <dxf>
      <numFmt numFmtId="12" formatCode="&quot;$&quot;#,##0.00_);[Red]\(&quot;$&quot;#,##0.00\)"/>
    </dxf>
    <dxf>
      <numFmt numFmtId="173" formatCode="0.0%;\-0.0%;0.0%"/>
    </dxf>
    <dxf>
      <font>
        <name val="Segoe UI"/>
        <scheme val="none"/>
      </font>
    </dxf>
    <dxf>
      <font>
        <name val="Segoe UI"/>
        <scheme val="none"/>
      </font>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
    </dxf>
    <dxf>
      <numFmt numFmtId="167" formatCode="\$#,##0;\(\$#,##0\);\$#,##0"/>
    </dxf>
    <dxf>
      <font>
        <name val="Segoe UI"/>
        <scheme val="none"/>
      </font>
    </dxf>
    <dxf>
      <font>
        <name val="Segoe UI"/>
        <scheme val="none"/>
      </font>
    </dxf>
    <dxf>
      <font>
        <name val="Segoe UI"/>
        <scheme val="none"/>
      </font>
    </dxf>
    <dxf>
      <font>
        <name val="Segoe UI"/>
        <scheme val="none"/>
      </font>
    </dxf>
    <dxf>
      <font>
        <name val="Segoe UI"/>
        <scheme val="none"/>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name val="Segoe UI"/>
        <scheme val="none"/>
      </font>
    </dxf>
    <dxf>
      <font>
        <name val="Segoe UI"/>
        <scheme val="none"/>
      </font>
    </dxf>
    <dxf>
      <font>
        <name val="Segoe UI"/>
        <scheme val="none"/>
      </font>
    </dxf>
    <dxf>
      <font>
        <name val="Segoe UI"/>
        <scheme val="none"/>
      </font>
    </dxf>
    <dxf>
      <font>
        <name val="Segoe UI"/>
        <scheme val="none"/>
      </font>
    </dxf>
    <dxf>
      <numFmt numFmtId="171" formatCode="&quot;$&quot;#,##0.000"/>
    </dxf>
    <dxf>
      <numFmt numFmtId="171" formatCode="&quot;$&quot;#,##0.00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72" formatCode="[$-409]mmm\-yy;@"/>
    </dxf>
    <dxf>
      <numFmt numFmtId="172" formatCode="[$-409]mmm\-yy;@"/>
    </dxf>
    <dxf>
      <numFmt numFmtId="172" formatCode="[$-409]mmm\-yy;@"/>
    </dxf>
    <dxf>
      <numFmt numFmtId="172" formatCode="[$-409]mmm\-yy;@"/>
    </dxf>
    <dxf>
      <font>
        <name val="Segoe UI"/>
        <scheme val="none"/>
      </font>
    </dxf>
    <dxf>
      <font>
        <name val="Segoe UI"/>
        <scheme val="none"/>
      </font>
    </dxf>
    <dxf>
      <font>
        <name val="Segoe UI"/>
        <scheme val="none"/>
      </font>
    </dxf>
    <dxf>
      <font>
        <b/>
        <i val="0"/>
        <sz val="11"/>
        <color rgb="FF333333"/>
        <name val="Segoe UI"/>
        <family val="2"/>
      </font>
      <border>
        <bottom style="thin">
          <color rgb="FFD9D9D9"/>
        </bottom>
      </border>
    </dxf>
    <dxf>
      <font>
        <b val="0"/>
        <i val="0"/>
        <sz val="11"/>
        <name val="Segoe UI"/>
        <family val="2"/>
        <scheme val="none"/>
      </font>
      <border>
        <left style="thin">
          <color rgb="FFD9D9D9"/>
        </left>
        <right style="thin">
          <color rgb="FFD9D9D9"/>
        </right>
        <top style="thin">
          <color rgb="FFD9D9D9"/>
        </top>
        <bottom style="thin">
          <color rgb="FFD9D9D9"/>
        </bottom>
      </border>
    </dxf>
  </dxfs>
  <tableStyles count="5" defaultTableStyle="TableStyleMedium2" defaultPivotStyle="PivotStyleLight16">
    <tableStyle name="Region" pivot="0" table="0" count="0" xr9:uid="{9501549F-86CD-47E4-8251-8B74670E9CFF}"/>
    <tableStyle name="Slicer Style 1" pivot="0" table="0" count="1" xr9:uid="{DBAB1A54-A648-4D5C-9064-3DA2B69FFFF3}"/>
    <tableStyle name="Slicer Style 2" pivot="0" table="0" count="2" xr9:uid="{E4172DC5-B5D3-483A-98D4-D1605A8A08CB}"/>
    <tableStyle name="Supply Chain Dashboard" pivot="0" table="0" count="5" xr9:uid="{93D5C091-6C40-4DEB-AD0C-52CC7CE419F3}">
      <tableStyleElement type="wholeTable" dxfId="141"/>
      <tableStyleElement type="headerRow" dxfId="140"/>
    </tableStyle>
    <tableStyle name="Supply Chain Dashboard 2" pivot="0" table="0" count="5" xr9:uid="{C59934E9-A8E9-45D5-9BF8-47E27037B412}">
      <tableStyleElement type="wholeTable" dxfId="1"/>
      <tableStyleElement type="headerRow" dxfId="0"/>
    </tableStyle>
  </tableStyles>
  <colors>
    <mruColors>
      <color rgb="FF333333"/>
      <color rgb="FF2E7D32"/>
      <color rgb="FFBA7517"/>
      <color rgb="FFA61B1B"/>
      <color rgb="FFDFF3E3"/>
      <color rgb="FFFCE8D5"/>
      <color rgb="FFF8D7DA"/>
      <color rgb="FFF7F6F3"/>
      <color rgb="FFE6E6E6"/>
      <color rgb="FFD9D9D9"/>
    </mruColors>
  </colors>
  <extLst>
    <ext xmlns:x14="http://schemas.microsoft.com/office/spreadsheetml/2009/9/main" uri="{46F421CA-312F-682f-3DD2-61675219B42D}">
      <x14:dxfs count="9">
        <dxf>
          <font>
            <b val="0"/>
            <i val="0"/>
            <sz val="12"/>
            <color rgb="FF412402"/>
            <name val="Segoe UI"/>
            <family val="2"/>
          </font>
          <fill>
            <patternFill>
              <bgColor rgb="FFF7C56B"/>
            </patternFill>
          </fill>
          <border>
            <left style="thin">
              <color rgb="FFEF9F27"/>
            </left>
            <right style="thin">
              <color rgb="FFEF9F27"/>
            </right>
            <top style="thin">
              <color rgb="FFEF9F27"/>
            </top>
            <bottom style="thin">
              <color rgb="FFEF9F27"/>
            </bottom>
          </border>
        </dxf>
        <dxf>
          <font>
            <b val="0"/>
            <i val="0"/>
            <sz val="12"/>
            <color rgb="FF412402"/>
            <name val="Segoe UI"/>
            <family val="2"/>
            <scheme val="none"/>
          </font>
          <fill>
            <patternFill>
              <bgColor rgb="FFEF9F27"/>
            </patternFill>
          </fill>
          <border>
            <left style="thin">
              <color rgb="FFEF9F27"/>
            </left>
            <right style="thin">
              <color rgb="FFEF9F27"/>
            </right>
            <top style="thin">
              <color rgb="FFEF9F27"/>
            </top>
            <bottom style="thin">
              <color rgb="FFEF9F27"/>
            </bottom>
          </border>
        </dxf>
        <dxf>
          <font>
            <b val="0"/>
            <i val="0"/>
            <sz val="12"/>
            <color rgb="FF5F5E5A"/>
            <name val="Segoe UI"/>
            <family val="2"/>
          </font>
          <fill>
            <patternFill>
              <bgColor theme="0"/>
            </patternFill>
          </fill>
          <border>
            <left style="thin">
              <color theme="0"/>
            </left>
            <right style="thin">
              <color theme="0"/>
            </right>
            <top style="thin">
              <color theme="0"/>
            </top>
            <bottom style="thin">
              <color theme="0"/>
            </bottom>
          </border>
        </dxf>
        <dxf>
          <font>
            <b val="0"/>
            <i val="0"/>
            <sz val="11"/>
            <color rgb="FF412402"/>
            <name val="Segoe UI"/>
            <family val="2"/>
          </font>
          <fill>
            <patternFill>
              <bgColor rgb="FFF7C56B"/>
            </patternFill>
          </fill>
          <border>
            <left style="thin">
              <color rgb="FFEF9F27"/>
            </left>
            <right style="thin">
              <color rgb="FFEF9F27"/>
            </right>
            <top style="thin">
              <color rgb="FFEF9F27"/>
            </top>
            <bottom style="thin">
              <color rgb="FFEF9F27"/>
            </bottom>
          </border>
        </dxf>
        <dxf>
          <font>
            <b val="0"/>
            <i val="0"/>
            <sz val="11"/>
            <color rgb="FF412402"/>
            <name val="Segoe UI"/>
            <family val="2"/>
            <scheme val="none"/>
          </font>
          <fill>
            <patternFill>
              <bgColor rgb="FFEF9F27"/>
            </patternFill>
          </fill>
          <border>
            <left style="thin">
              <color rgb="FFEF9F27"/>
            </left>
            <right style="thin">
              <color rgb="FFEF9F27"/>
            </right>
            <top style="thin">
              <color rgb="FFEF9F27"/>
            </top>
            <bottom style="thin">
              <color rgb="FFEF9F27"/>
            </bottom>
          </border>
        </dxf>
        <dxf>
          <font>
            <b val="0"/>
            <i val="0"/>
            <sz val="11"/>
            <color rgb="FF5F5E5A"/>
            <name val="Segoe UI"/>
            <family val="2"/>
          </font>
          <fill>
            <patternFill>
              <bgColor theme="0"/>
            </patternFill>
          </fill>
          <border>
            <left style="thin">
              <color theme="0"/>
            </left>
            <right style="thin">
              <color theme="0"/>
            </right>
            <top style="thin">
              <color theme="0"/>
            </top>
            <bottom style="thin">
              <color theme="0"/>
            </bottom>
          </border>
        </dxf>
        <dxf>
          <fill>
            <patternFill>
              <bgColor rgb="FFEF9F27"/>
            </patternFill>
          </fill>
        </dxf>
        <dxf>
          <fill>
            <patternFill>
              <bgColor theme="0"/>
            </patternFill>
          </fill>
        </dxf>
        <dxf>
          <fill>
            <patternFill>
              <fgColor rgb="FFEF9F27"/>
            </patternFill>
          </fill>
        </dxf>
      </x14:dxfs>
    </ext>
    <ext xmlns:x14="http://schemas.microsoft.com/office/spreadsheetml/2009/9/main" uri="{EB79DEF2-80B8-43e5-95BD-54CBDDF9020C}">
      <x14:slicerStyles defaultSlicerStyle="SlicerStyleLight1">
        <x14:slicerStyle name="Region"/>
        <x14:slicerStyle name="Slicer Style 1">
          <x14:slicerStyleElements>
            <x14:slicerStyleElement type="selectedItemWithData" dxfId="8"/>
          </x14:slicerStyleElements>
        </x14:slicerStyle>
        <x14:slicerStyle name="Slicer Style 2">
          <x14:slicerStyleElements>
            <x14:slicerStyleElement type="unselectedItemWithNoData" dxfId="7"/>
            <x14:slicerStyleElement type="selectedItemWithNoData" dxfId="6"/>
          </x14:slicerStyleElements>
        </x14:slicerStyle>
        <x14:slicerStyle name="Supply Chain Dashboard">
          <x14:slicerStyleElements>
            <x14:slicerStyleElement type="unselectedItemWithData" dxfId="5"/>
            <x14:slicerStyleElement type="selectedItemWithData" dxfId="4"/>
            <x14:slicerStyleElement type="hoveredSelectedItemWithData" dxfId="3"/>
          </x14:slicerStyleElements>
        </x14:slicerStyle>
        <x14:slicerStyle name="Supply Chain Dashboard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theme" Target="theme/theme1.xml"/><Relationship Id="rId39" Type="http://schemas.openxmlformats.org/officeDocument/2006/relationships/customXml" Target="../customXml/item6.xml"/><Relationship Id="rId21" Type="http://schemas.microsoft.com/office/2007/relationships/slicerCache" Target="slicerCaches/slicerCache3.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63" Type="http://schemas.openxmlformats.org/officeDocument/2006/relationships/customXml" Target="../customXml/item3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haredStrings" Target="sharedStrings.xml"/><Relationship Id="rId11" Type="http://schemas.openxmlformats.org/officeDocument/2006/relationships/pivotCacheDefinition" Target="pivotCache/pivotCacheDefinition2.xml"/><Relationship Id="rId24" Type="http://schemas.microsoft.com/office/2007/relationships/slicerCache" Target="slicerCaches/slicerCache6.xml"/><Relationship Id="rId32" Type="http://schemas.microsoft.com/office/2017/10/relationships/person" Target="persons/person.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8.xml"/><Relationship Id="rId19" Type="http://schemas.microsoft.com/office/2007/relationships/slicerCache" Target="slicerCaches/slicerCache1.xml"/><Relationship Id="rId14" Type="http://schemas.openxmlformats.org/officeDocument/2006/relationships/pivotCacheDefinition" Target="pivotCache/pivotCacheDefinition5.xml"/><Relationship Id="rId22" Type="http://schemas.microsoft.com/office/2007/relationships/slicerCache" Target="slicerCaches/slicerCache4.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7.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microsoft.com/office/2007/relationships/slicerCache" Target="slicerCaches/slicerCache2.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5.xml"/><Relationship Id="rId28" Type="http://schemas.openxmlformats.org/officeDocument/2006/relationships/styles" Target="styles.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1.xml"/><Relationship Id="rId31" Type="http://schemas.openxmlformats.org/officeDocument/2006/relationships/powerPivotData" Target="model/item.data"/><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400" b="1">
                <a:solidFill>
                  <a:srgbClr val="3A3A3A"/>
                </a:solidFill>
                <a:latin typeface="Segoe UI" panose="020B0502040204020203" pitchFamily="34" charset="0"/>
                <a:cs typeface="Segoe UI" panose="020B0502040204020203" pitchFamily="34" charset="0"/>
              </a:rPr>
              <a:t>Monthly On-Time Ship Rate</a:t>
            </a:r>
            <a:r>
              <a:rPr lang="en-US" sz="1400" b="1" baseline="0">
                <a:solidFill>
                  <a:srgbClr val="3A3A3A"/>
                </a:solidFill>
                <a:latin typeface="Segoe UI" panose="020B0502040204020203" pitchFamily="34" charset="0"/>
                <a:cs typeface="Segoe UI" panose="020B0502040204020203" pitchFamily="34" charset="0"/>
              </a:rPr>
              <a:t> vs 90% Target</a:t>
            </a:r>
            <a:endParaRPr lang="en-US" sz="1400" b="1">
              <a:solidFill>
                <a:srgbClr val="3A3A3A"/>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lineChart>
        <c:grouping val="standard"/>
        <c:varyColors val="0"/>
        <c:ser>
          <c:idx val="0"/>
          <c:order val="0"/>
          <c:tx>
            <c:strRef>
              <c:f>Helper!$C$2</c:f>
              <c:strCache>
                <c:ptCount val="1"/>
                <c:pt idx="0">
                  <c:v>SLA Compliance Rate</c:v>
                </c:pt>
              </c:strCache>
            </c:strRef>
          </c:tx>
          <c:spPr>
            <a:ln w="38100" cap="rnd">
              <a:solidFill>
                <a:srgbClr val="C55A11">
                  <a:alpha val="90000"/>
                </a:srgbClr>
              </a:solidFill>
              <a:round/>
            </a:ln>
            <a:effectLst/>
          </c:spPr>
          <c:marker>
            <c:symbol val="circle"/>
            <c:size val="6"/>
            <c:spPr>
              <a:solidFill>
                <a:srgbClr val="C55A11"/>
              </a:solidFill>
              <a:ln w="9525">
                <a:noFill/>
              </a:ln>
              <a:effectLst/>
            </c:spPr>
          </c:marker>
          <c:dPt>
            <c:idx val="11"/>
            <c:marker>
              <c:symbol val="circle"/>
              <c:size val="9"/>
              <c:spPr>
                <a:solidFill>
                  <a:srgbClr val="C55A11"/>
                </a:solidFill>
                <a:ln w="9525">
                  <a:noFill/>
                </a:ln>
                <a:effectLst/>
              </c:spPr>
            </c:marker>
            <c:bubble3D val="0"/>
            <c:extLst>
              <c:ext xmlns:c16="http://schemas.microsoft.com/office/drawing/2014/chart" uri="{C3380CC4-5D6E-409C-BE32-E72D297353CC}">
                <c16:uniqueId val="{00000000-D5E1-4948-83C5-AB6CD6441E0F}"/>
              </c:ext>
            </c:extLst>
          </c:dPt>
          <c:dLbls>
            <c:dLbl>
              <c:idx val="1"/>
              <c:delete val="1"/>
              <c:extLst>
                <c:ext xmlns:c15="http://schemas.microsoft.com/office/drawing/2012/chart" uri="{CE6537A1-D6FC-4f65-9D91-7224C49458BB}"/>
                <c:ext xmlns:c16="http://schemas.microsoft.com/office/drawing/2014/chart" uri="{C3380CC4-5D6E-409C-BE32-E72D297353CC}">
                  <c16:uniqueId val="{00000000-7F60-4550-A264-28F997CE99EA}"/>
                </c:ext>
              </c:extLst>
            </c:dLbl>
            <c:dLbl>
              <c:idx val="2"/>
              <c:delete val="1"/>
              <c:extLst>
                <c:ext xmlns:c15="http://schemas.microsoft.com/office/drawing/2012/chart" uri="{CE6537A1-D6FC-4f65-9D91-7224C49458BB}"/>
                <c:ext xmlns:c16="http://schemas.microsoft.com/office/drawing/2014/chart" uri="{C3380CC4-5D6E-409C-BE32-E72D297353CC}">
                  <c16:uniqueId val="{00000001-7F60-4550-A264-28F997CE99EA}"/>
                </c:ext>
              </c:extLst>
            </c:dLbl>
            <c:dLbl>
              <c:idx val="3"/>
              <c:layout>
                <c:manualLayout>
                  <c:x val="-5.8013998250218725E-2"/>
                  <c:y val="3.01622193059200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60-4550-A264-28F997CE99EA}"/>
                </c:ext>
              </c:extLst>
            </c:dLbl>
            <c:dLbl>
              <c:idx val="4"/>
              <c:delete val="1"/>
              <c:extLst>
                <c:ext xmlns:c15="http://schemas.microsoft.com/office/drawing/2012/chart" uri="{CE6537A1-D6FC-4f65-9D91-7224C49458BB}"/>
                <c:ext xmlns:c16="http://schemas.microsoft.com/office/drawing/2014/chart" uri="{C3380CC4-5D6E-409C-BE32-E72D297353CC}">
                  <c16:uniqueId val="{00000003-7F60-4550-A264-28F997CE99EA}"/>
                </c:ext>
              </c:extLst>
            </c:dLbl>
            <c:dLbl>
              <c:idx val="5"/>
              <c:delete val="1"/>
              <c:extLst>
                <c:ext xmlns:c15="http://schemas.microsoft.com/office/drawing/2012/chart" uri="{CE6537A1-D6FC-4f65-9D91-7224C49458BB}"/>
                <c:ext xmlns:c16="http://schemas.microsoft.com/office/drawing/2014/chart" uri="{C3380CC4-5D6E-409C-BE32-E72D297353CC}">
                  <c16:uniqueId val="{00000004-7F60-4550-A264-28F997CE99EA}"/>
                </c:ext>
              </c:extLst>
            </c:dLbl>
            <c:dLbl>
              <c:idx val="6"/>
              <c:delete val="1"/>
              <c:extLst>
                <c:ext xmlns:c15="http://schemas.microsoft.com/office/drawing/2012/chart" uri="{CE6537A1-D6FC-4f65-9D91-7224C49458BB}"/>
                <c:ext xmlns:c16="http://schemas.microsoft.com/office/drawing/2014/chart" uri="{C3380CC4-5D6E-409C-BE32-E72D297353CC}">
                  <c16:uniqueId val="{00000005-7F60-4550-A264-28F997CE99EA}"/>
                </c:ext>
              </c:extLst>
            </c:dLbl>
            <c:dLbl>
              <c:idx val="7"/>
              <c:delete val="1"/>
              <c:extLst>
                <c:ext xmlns:c15="http://schemas.microsoft.com/office/drawing/2012/chart" uri="{CE6537A1-D6FC-4f65-9D91-7224C49458BB}"/>
                <c:ext xmlns:c16="http://schemas.microsoft.com/office/drawing/2014/chart" uri="{C3380CC4-5D6E-409C-BE32-E72D297353CC}">
                  <c16:uniqueId val="{00000006-7F60-4550-A264-28F997CE99EA}"/>
                </c:ext>
              </c:extLst>
            </c:dLbl>
            <c:dLbl>
              <c:idx val="8"/>
              <c:delete val="1"/>
              <c:extLst>
                <c:ext xmlns:c15="http://schemas.microsoft.com/office/drawing/2012/chart" uri="{CE6537A1-D6FC-4f65-9D91-7224C49458BB}"/>
                <c:ext xmlns:c16="http://schemas.microsoft.com/office/drawing/2014/chart" uri="{C3380CC4-5D6E-409C-BE32-E72D297353CC}">
                  <c16:uniqueId val="{00000007-7F60-4550-A264-28F997CE99EA}"/>
                </c:ext>
              </c:extLst>
            </c:dLbl>
            <c:dLbl>
              <c:idx val="9"/>
              <c:delete val="1"/>
              <c:extLst>
                <c:ext xmlns:c15="http://schemas.microsoft.com/office/drawing/2012/chart" uri="{CE6537A1-D6FC-4f65-9D91-7224C49458BB}"/>
                <c:ext xmlns:c16="http://schemas.microsoft.com/office/drawing/2014/chart" uri="{C3380CC4-5D6E-409C-BE32-E72D297353CC}">
                  <c16:uniqueId val="{00000008-7F60-4550-A264-28F997CE99EA}"/>
                </c:ext>
              </c:extLst>
            </c:dLbl>
            <c:dLbl>
              <c:idx val="10"/>
              <c:delete val="1"/>
              <c:extLst>
                <c:ext xmlns:c15="http://schemas.microsoft.com/office/drawing/2012/chart" uri="{CE6537A1-D6FC-4f65-9D91-7224C49458BB}"/>
                <c:ext xmlns:c16="http://schemas.microsoft.com/office/drawing/2014/chart" uri="{C3380CC4-5D6E-409C-BE32-E72D297353CC}">
                  <c16:uniqueId val="{00000009-7F60-4550-A264-28F997CE99E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55A11"/>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Helper!$B$3:$B$14</c:f>
              <c:numCache>
                <c:formatCode>[$-409]mmm\-yy;@</c:formatCode>
                <c:ptCount val="12"/>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numCache>
            </c:numRef>
          </c:cat>
          <c:val>
            <c:numRef>
              <c:f>Helper!$C$3:$C$14</c:f>
              <c:numCache>
                <c:formatCode>0.0%</c:formatCode>
                <c:ptCount val="12"/>
                <c:pt idx="0">
                  <c:v>0.84810126582278478</c:v>
                </c:pt>
                <c:pt idx="1">
                  <c:v>0.79569892473118276</c:v>
                </c:pt>
                <c:pt idx="2">
                  <c:v>0.80263157894736847</c:v>
                </c:pt>
                <c:pt idx="3">
                  <c:v>0.76923076923076927</c:v>
                </c:pt>
                <c:pt idx="4">
                  <c:v>0.8783783783783784</c:v>
                </c:pt>
                <c:pt idx="5">
                  <c:v>0.84946236559139787</c:v>
                </c:pt>
                <c:pt idx="6">
                  <c:v>0.81395348837209303</c:v>
                </c:pt>
                <c:pt idx="7">
                  <c:v>0.81395348837209303</c:v>
                </c:pt>
                <c:pt idx="8">
                  <c:v>0.79569892473118276</c:v>
                </c:pt>
                <c:pt idx="9">
                  <c:v>0.8571428571428571</c:v>
                </c:pt>
                <c:pt idx="10">
                  <c:v>0.85882352941176465</c:v>
                </c:pt>
                <c:pt idx="11">
                  <c:v>0.92307692307692313</c:v>
                </c:pt>
              </c:numCache>
            </c:numRef>
          </c:val>
          <c:smooth val="0"/>
          <c:extLst>
            <c:ext xmlns:c16="http://schemas.microsoft.com/office/drawing/2014/chart" uri="{C3380CC4-5D6E-409C-BE32-E72D297353CC}">
              <c16:uniqueId val="{0000000A-7F60-4550-A264-28F997CE99EA}"/>
            </c:ext>
          </c:extLst>
        </c:ser>
        <c:ser>
          <c:idx val="1"/>
          <c:order val="1"/>
          <c:tx>
            <c:strRef>
              <c:f>Helper!$D$2</c:f>
              <c:strCache>
                <c:ptCount val="1"/>
                <c:pt idx="0">
                  <c:v>Target</c:v>
                </c:pt>
              </c:strCache>
            </c:strRef>
          </c:tx>
          <c:spPr>
            <a:ln w="15875" cap="rnd">
              <a:solidFill>
                <a:schemeClr val="bg1">
                  <a:lumMod val="75000"/>
                </a:schemeClr>
              </a:solidFill>
              <a:prstDash val="dash"/>
              <a:round/>
            </a:ln>
            <a:effectLst/>
          </c:spPr>
          <c:marker>
            <c:symbol val="none"/>
          </c:marker>
          <c:dLbls>
            <c:dLbl>
              <c:idx val="0"/>
              <c:layout>
                <c:manualLayout>
                  <c:x val="-1.9510087724487528E-2"/>
                  <c:y val="-4.9547522652674772E-2"/>
                </c:manualLayout>
              </c:layout>
              <c:tx>
                <c:rich>
                  <a:bodyPr/>
                  <a:lstStyle/>
                  <a:p>
                    <a:r>
                      <a:rPr lang="en-US"/>
                      <a:t>90% Target Line</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F60-4550-A264-28F997CE99EA}"/>
                </c:ext>
              </c:extLst>
            </c:dLbl>
            <c:dLbl>
              <c:idx val="1"/>
              <c:delete val="1"/>
              <c:extLst>
                <c:ext xmlns:c15="http://schemas.microsoft.com/office/drawing/2012/chart" uri="{CE6537A1-D6FC-4f65-9D91-7224C49458BB}"/>
                <c:ext xmlns:c16="http://schemas.microsoft.com/office/drawing/2014/chart" uri="{C3380CC4-5D6E-409C-BE32-E72D297353CC}">
                  <c16:uniqueId val="{0000000C-7F60-4550-A264-28F997CE99EA}"/>
                </c:ext>
              </c:extLst>
            </c:dLbl>
            <c:dLbl>
              <c:idx val="2"/>
              <c:delete val="1"/>
              <c:extLst>
                <c:ext xmlns:c15="http://schemas.microsoft.com/office/drawing/2012/chart" uri="{CE6537A1-D6FC-4f65-9D91-7224C49458BB}"/>
                <c:ext xmlns:c16="http://schemas.microsoft.com/office/drawing/2014/chart" uri="{C3380CC4-5D6E-409C-BE32-E72D297353CC}">
                  <c16:uniqueId val="{0000000D-7F60-4550-A264-28F997CE99EA}"/>
                </c:ext>
              </c:extLst>
            </c:dLbl>
            <c:dLbl>
              <c:idx val="3"/>
              <c:delete val="1"/>
              <c:extLst>
                <c:ext xmlns:c15="http://schemas.microsoft.com/office/drawing/2012/chart" uri="{CE6537A1-D6FC-4f65-9D91-7224C49458BB}"/>
                <c:ext xmlns:c16="http://schemas.microsoft.com/office/drawing/2014/chart" uri="{C3380CC4-5D6E-409C-BE32-E72D297353CC}">
                  <c16:uniqueId val="{0000000E-7F60-4550-A264-28F997CE99EA}"/>
                </c:ext>
              </c:extLst>
            </c:dLbl>
            <c:dLbl>
              <c:idx val="4"/>
              <c:delete val="1"/>
              <c:extLst>
                <c:ext xmlns:c15="http://schemas.microsoft.com/office/drawing/2012/chart" uri="{CE6537A1-D6FC-4f65-9D91-7224C49458BB}"/>
                <c:ext xmlns:c16="http://schemas.microsoft.com/office/drawing/2014/chart" uri="{C3380CC4-5D6E-409C-BE32-E72D297353CC}">
                  <c16:uniqueId val="{0000000F-7F60-4550-A264-28F997CE99EA}"/>
                </c:ext>
              </c:extLst>
            </c:dLbl>
            <c:dLbl>
              <c:idx val="5"/>
              <c:delete val="1"/>
              <c:extLst>
                <c:ext xmlns:c15="http://schemas.microsoft.com/office/drawing/2012/chart" uri="{CE6537A1-D6FC-4f65-9D91-7224C49458BB}"/>
                <c:ext xmlns:c16="http://schemas.microsoft.com/office/drawing/2014/chart" uri="{C3380CC4-5D6E-409C-BE32-E72D297353CC}">
                  <c16:uniqueId val="{00000010-7F60-4550-A264-28F997CE99EA}"/>
                </c:ext>
              </c:extLst>
            </c:dLbl>
            <c:dLbl>
              <c:idx val="6"/>
              <c:delete val="1"/>
              <c:extLst>
                <c:ext xmlns:c15="http://schemas.microsoft.com/office/drawing/2012/chart" uri="{CE6537A1-D6FC-4f65-9D91-7224C49458BB}"/>
                <c:ext xmlns:c16="http://schemas.microsoft.com/office/drawing/2014/chart" uri="{C3380CC4-5D6E-409C-BE32-E72D297353CC}">
                  <c16:uniqueId val="{00000011-7F60-4550-A264-28F997CE99EA}"/>
                </c:ext>
              </c:extLst>
            </c:dLbl>
            <c:dLbl>
              <c:idx val="7"/>
              <c:delete val="1"/>
              <c:extLst>
                <c:ext xmlns:c15="http://schemas.microsoft.com/office/drawing/2012/chart" uri="{CE6537A1-D6FC-4f65-9D91-7224C49458BB}"/>
                <c:ext xmlns:c16="http://schemas.microsoft.com/office/drawing/2014/chart" uri="{C3380CC4-5D6E-409C-BE32-E72D297353CC}">
                  <c16:uniqueId val="{00000012-7F60-4550-A264-28F997CE99EA}"/>
                </c:ext>
              </c:extLst>
            </c:dLbl>
            <c:dLbl>
              <c:idx val="8"/>
              <c:delete val="1"/>
              <c:extLst>
                <c:ext xmlns:c15="http://schemas.microsoft.com/office/drawing/2012/chart" uri="{CE6537A1-D6FC-4f65-9D91-7224C49458BB}"/>
                <c:ext xmlns:c16="http://schemas.microsoft.com/office/drawing/2014/chart" uri="{C3380CC4-5D6E-409C-BE32-E72D297353CC}">
                  <c16:uniqueId val="{00000013-7F60-4550-A264-28F997CE99EA}"/>
                </c:ext>
              </c:extLst>
            </c:dLbl>
            <c:dLbl>
              <c:idx val="9"/>
              <c:delete val="1"/>
              <c:extLst>
                <c:ext xmlns:c15="http://schemas.microsoft.com/office/drawing/2012/chart" uri="{CE6537A1-D6FC-4f65-9D91-7224C49458BB}"/>
                <c:ext xmlns:c16="http://schemas.microsoft.com/office/drawing/2014/chart" uri="{C3380CC4-5D6E-409C-BE32-E72D297353CC}">
                  <c16:uniqueId val="{00000014-7F60-4550-A264-28F997CE99EA}"/>
                </c:ext>
              </c:extLst>
            </c:dLbl>
            <c:dLbl>
              <c:idx val="10"/>
              <c:delete val="1"/>
              <c:extLst>
                <c:ext xmlns:c15="http://schemas.microsoft.com/office/drawing/2012/chart" uri="{CE6537A1-D6FC-4f65-9D91-7224C49458BB}"/>
                <c:ext xmlns:c16="http://schemas.microsoft.com/office/drawing/2014/chart" uri="{C3380CC4-5D6E-409C-BE32-E72D297353CC}">
                  <c16:uniqueId val="{00000015-7F60-4550-A264-28F997CE99EA}"/>
                </c:ext>
              </c:extLst>
            </c:dLbl>
            <c:dLbl>
              <c:idx val="11"/>
              <c:delete val="1"/>
              <c:extLst>
                <c:ext xmlns:c15="http://schemas.microsoft.com/office/drawing/2012/chart" uri="{CE6537A1-D6FC-4f65-9D91-7224C49458BB}"/>
                <c:ext xmlns:c16="http://schemas.microsoft.com/office/drawing/2014/chart" uri="{C3380CC4-5D6E-409C-BE32-E72D297353CC}">
                  <c16:uniqueId val="{00000016-7F60-4550-A264-28F997CE99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Helper!$B$3:$B$14</c:f>
              <c:numCache>
                <c:formatCode>[$-409]mmm\-yy;@</c:formatCode>
                <c:ptCount val="12"/>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numCache>
            </c:numRef>
          </c:cat>
          <c:val>
            <c:numRef>
              <c:f>Helper!$D$3:$D$14</c:f>
              <c:numCache>
                <c:formatCode>0%</c:formatCode>
                <c:ptCount val="12"/>
                <c:pt idx="0">
                  <c:v>0.9</c:v>
                </c:pt>
                <c:pt idx="1">
                  <c:v>0.9</c:v>
                </c:pt>
                <c:pt idx="2">
                  <c:v>0.9</c:v>
                </c:pt>
                <c:pt idx="3">
                  <c:v>0.9</c:v>
                </c:pt>
                <c:pt idx="4">
                  <c:v>0.9</c:v>
                </c:pt>
                <c:pt idx="5">
                  <c:v>0.9</c:v>
                </c:pt>
                <c:pt idx="6">
                  <c:v>0.9</c:v>
                </c:pt>
                <c:pt idx="7">
                  <c:v>0.9</c:v>
                </c:pt>
                <c:pt idx="8">
                  <c:v>0.9</c:v>
                </c:pt>
                <c:pt idx="9">
                  <c:v>0.9</c:v>
                </c:pt>
                <c:pt idx="10">
                  <c:v>0.9</c:v>
                </c:pt>
                <c:pt idx="11">
                  <c:v>0.9</c:v>
                </c:pt>
              </c:numCache>
            </c:numRef>
          </c:val>
          <c:smooth val="0"/>
          <c:extLst>
            <c:ext xmlns:c16="http://schemas.microsoft.com/office/drawing/2014/chart" uri="{C3380CC4-5D6E-409C-BE32-E72D297353CC}">
              <c16:uniqueId val="{00000017-7F60-4550-A264-28F997CE99EA}"/>
            </c:ext>
          </c:extLst>
        </c:ser>
        <c:dLbls>
          <c:dLblPos val="t"/>
          <c:showLegendKey val="0"/>
          <c:showVal val="1"/>
          <c:showCatName val="0"/>
          <c:showSerName val="0"/>
          <c:showPercent val="0"/>
          <c:showBubbleSize val="0"/>
        </c:dLbls>
        <c:marker val="1"/>
        <c:smooth val="0"/>
        <c:axId val="274884384"/>
        <c:axId val="2109023503"/>
      </c:lineChart>
      <c:dateAx>
        <c:axId val="274884384"/>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109023503"/>
        <c:crosses val="autoZero"/>
        <c:auto val="1"/>
        <c:lblOffset val="100"/>
        <c:baseTimeUnit val="months"/>
      </c:dateAx>
      <c:valAx>
        <c:axId val="2109023503"/>
        <c:scaling>
          <c:orientation val="minMax"/>
          <c:min val="0.7500000000000001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74884384"/>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3A3A3A"/>
                </a:solidFill>
                <a:latin typeface="Segoe UI" panose="020B0502040204020203" pitchFamily="34" charset="0"/>
                <a:cs typeface="Segoe UI" panose="020B0502040204020203" pitchFamily="34" charset="0"/>
              </a:rPr>
              <a:t>Shipment Volume &amp; SLA by Carrier</a:t>
            </a:r>
            <a:endParaRPr lang="en-US" b="1">
              <a:solidFill>
                <a:srgbClr val="3A3A3A"/>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Helper!$C$19</c:f>
              <c:strCache>
                <c:ptCount val="1"/>
                <c:pt idx="0">
                  <c:v>Total Shipments</c:v>
                </c:pt>
              </c:strCache>
            </c:strRef>
          </c:tx>
          <c:spPr>
            <a:solidFill>
              <a:srgbClr val="E6E6E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66666"/>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Helper!$B$20:$B$24</c:f>
              <c:strCache>
                <c:ptCount val="5"/>
                <c:pt idx="0">
                  <c:v>Swift Express</c:v>
                </c:pt>
                <c:pt idx="1">
                  <c:v>Velocity Transport</c:v>
                </c:pt>
                <c:pt idx="2">
                  <c:v>FreightPulse</c:v>
                </c:pt>
                <c:pt idx="3">
                  <c:v>Apex Freight</c:v>
                </c:pt>
                <c:pt idx="4">
                  <c:v>RailLink Logistics</c:v>
                </c:pt>
              </c:strCache>
            </c:strRef>
          </c:cat>
          <c:val>
            <c:numRef>
              <c:f>Helper!$C$20:$C$24</c:f>
              <c:numCache>
                <c:formatCode>General</c:formatCode>
                <c:ptCount val="5"/>
                <c:pt idx="0">
                  <c:v>198</c:v>
                </c:pt>
                <c:pt idx="1">
                  <c:v>207</c:v>
                </c:pt>
                <c:pt idx="2">
                  <c:v>210</c:v>
                </c:pt>
                <c:pt idx="3">
                  <c:v>193</c:v>
                </c:pt>
                <c:pt idx="4">
                  <c:v>192</c:v>
                </c:pt>
              </c:numCache>
            </c:numRef>
          </c:val>
          <c:extLst>
            <c:ext xmlns:c16="http://schemas.microsoft.com/office/drawing/2014/chart" uri="{C3380CC4-5D6E-409C-BE32-E72D297353CC}">
              <c16:uniqueId val="{00000000-D827-479F-9C7D-18E2EABCD165}"/>
            </c:ext>
          </c:extLst>
        </c:ser>
        <c:dLbls>
          <c:showLegendKey val="0"/>
          <c:showVal val="0"/>
          <c:showCatName val="0"/>
          <c:showSerName val="0"/>
          <c:showPercent val="0"/>
          <c:showBubbleSize val="0"/>
        </c:dLbls>
        <c:gapWidth val="50"/>
        <c:overlap val="-27"/>
        <c:axId val="2011319279"/>
        <c:axId val="2109140143"/>
      </c:barChart>
      <c:lineChart>
        <c:grouping val="standard"/>
        <c:varyColors val="0"/>
        <c:ser>
          <c:idx val="1"/>
          <c:order val="1"/>
          <c:tx>
            <c:strRef>
              <c:f>Helper!$D$19</c:f>
              <c:strCache>
                <c:ptCount val="1"/>
                <c:pt idx="0">
                  <c:v>SLA Compliance Rate</c:v>
                </c:pt>
              </c:strCache>
            </c:strRef>
          </c:tx>
          <c:spPr>
            <a:ln w="34925" cap="rnd">
              <a:solidFill>
                <a:srgbClr val="BA7517"/>
              </a:solidFill>
              <a:round/>
            </a:ln>
            <a:effectLst/>
          </c:spPr>
          <c:marker>
            <c:symbol val="circle"/>
            <c:size val="6"/>
            <c:spPr>
              <a:solidFill>
                <a:srgbClr val="BA7517"/>
              </a:solidFill>
              <a:ln w="9525">
                <a:noFill/>
              </a:ln>
              <a:effectLst/>
            </c:spPr>
          </c:marker>
          <c:dLbls>
            <c:dLbl>
              <c:idx val="4"/>
              <c:layout>
                <c:manualLayout>
                  <c:x val="-6.2180664916885439E-2"/>
                  <c:y val="-8.32637066200058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27-479F-9C7D-18E2EABCD16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BA7517"/>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Helper!$B$20:$B$24</c:f>
              <c:strCache>
                <c:ptCount val="5"/>
                <c:pt idx="0">
                  <c:v>Swift Express</c:v>
                </c:pt>
                <c:pt idx="1">
                  <c:v>Velocity Transport</c:v>
                </c:pt>
                <c:pt idx="2">
                  <c:v>FreightPulse</c:v>
                </c:pt>
                <c:pt idx="3">
                  <c:v>Apex Freight</c:v>
                </c:pt>
                <c:pt idx="4">
                  <c:v>RailLink Logistics</c:v>
                </c:pt>
              </c:strCache>
            </c:strRef>
          </c:cat>
          <c:val>
            <c:numRef>
              <c:f>Helper!$D$20:$D$24</c:f>
              <c:numCache>
                <c:formatCode>0.0%</c:formatCode>
                <c:ptCount val="5"/>
                <c:pt idx="0">
                  <c:v>0.85353535353535348</c:v>
                </c:pt>
                <c:pt idx="1">
                  <c:v>0.84057971014492749</c:v>
                </c:pt>
                <c:pt idx="2">
                  <c:v>0.83809523809523812</c:v>
                </c:pt>
                <c:pt idx="3">
                  <c:v>0.83419689119170981</c:v>
                </c:pt>
                <c:pt idx="4">
                  <c:v>0.80729166666666663</c:v>
                </c:pt>
              </c:numCache>
            </c:numRef>
          </c:val>
          <c:smooth val="0"/>
          <c:extLst>
            <c:ext xmlns:c16="http://schemas.microsoft.com/office/drawing/2014/chart" uri="{C3380CC4-5D6E-409C-BE32-E72D297353CC}">
              <c16:uniqueId val="{00000002-D827-479F-9C7D-18E2EABCD165}"/>
            </c:ext>
          </c:extLst>
        </c:ser>
        <c:dLbls>
          <c:showLegendKey val="0"/>
          <c:showVal val="0"/>
          <c:showCatName val="0"/>
          <c:showSerName val="0"/>
          <c:showPercent val="0"/>
          <c:showBubbleSize val="0"/>
        </c:dLbls>
        <c:marker val="1"/>
        <c:smooth val="0"/>
        <c:axId val="2011318815"/>
        <c:axId val="2109138223"/>
      </c:lineChart>
      <c:catAx>
        <c:axId val="201131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109140143"/>
        <c:crosses val="autoZero"/>
        <c:auto val="1"/>
        <c:lblAlgn val="ctr"/>
        <c:lblOffset val="100"/>
        <c:noMultiLvlLbl val="0"/>
      </c:catAx>
      <c:valAx>
        <c:axId val="2109140143"/>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319279"/>
        <c:crosses val="autoZero"/>
        <c:crossBetween val="between"/>
      </c:valAx>
      <c:valAx>
        <c:axId val="2109138223"/>
        <c:scaling>
          <c:orientation val="minMax"/>
          <c:max val="0.9"/>
          <c:min val="0.8"/>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011318815"/>
        <c:crosses val="max"/>
        <c:crossBetween val="between"/>
        <c:majorUnit val="2.0000000000000004E-2"/>
      </c:valAx>
      <c:catAx>
        <c:axId val="2011318815"/>
        <c:scaling>
          <c:orientation val="minMax"/>
        </c:scaling>
        <c:delete val="1"/>
        <c:axPos val="b"/>
        <c:numFmt formatCode="General" sourceLinked="1"/>
        <c:majorTickMark val="none"/>
        <c:minorTickMark val="none"/>
        <c:tickLblPos val="nextTo"/>
        <c:crossAx val="2109138223"/>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595959"/>
                </a:solidFill>
                <a:latin typeface="Segoe UI" panose="020B0502040204020203" pitchFamily="34" charset="0"/>
                <a:cs typeface="Segoe UI" panose="020B0502040204020203" pitchFamily="34" charset="0"/>
              </a:rPr>
              <a:t>Regional SLA Compliance &amp; Shipment Volume</a:t>
            </a:r>
            <a:endParaRPr lang="en-US" b="1">
              <a:solidFill>
                <a:srgbClr val="595959"/>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Helper!$C$49</c:f>
              <c:strCache>
                <c:ptCount val="1"/>
                <c:pt idx="0">
                  <c:v>SLA Compliance Rate</c:v>
                </c:pt>
              </c:strCache>
            </c:strRef>
          </c:tx>
          <c:spPr>
            <a:solidFill>
              <a:srgbClr val="D98C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Helper!$B$50:$B$53</c:f>
              <c:strCache>
                <c:ptCount val="4"/>
                <c:pt idx="0">
                  <c:v>US-Central</c:v>
                </c:pt>
                <c:pt idx="1">
                  <c:v>US-East</c:v>
                </c:pt>
                <c:pt idx="2">
                  <c:v>US-South</c:v>
                </c:pt>
                <c:pt idx="3">
                  <c:v>US-West</c:v>
                </c:pt>
              </c:strCache>
            </c:strRef>
          </c:cat>
          <c:val>
            <c:numRef>
              <c:f>Helper!$C$50:$C$53</c:f>
              <c:numCache>
                <c:formatCode>0.0%</c:formatCode>
                <c:ptCount val="4"/>
                <c:pt idx="0">
                  <c:v>0.80790960451977401</c:v>
                </c:pt>
                <c:pt idx="1">
                  <c:v>0.85964912280701755</c:v>
                </c:pt>
                <c:pt idx="2">
                  <c:v>0.82727272727272727</c:v>
                </c:pt>
                <c:pt idx="3">
                  <c:v>0.84472049689440998</c:v>
                </c:pt>
              </c:numCache>
            </c:numRef>
          </c:val>
          <c:extLst>
            <c:ext xmlns:c16="http://schemas.microsoft.com/office/drawing/2014/chart" uri="{C3380CC4-5D6E-409C-BE32-E72D297353CC}">
              <c16:uniqueId val="{00000000-D4F3-4A81-8D02-425B3B35E8F3}"/>
            </c:ext>
          </c:extLst>
        </c:ser>
        <c:dLbls>
          <c:showLegendKey val="0"/>
          <c:showVal val="0"/>
          <c:showCatName val="0"/>
          <c:showSerName val="0"/>
          <c:showPercent val="0"/>
          <c:showBubbleSize val="0"/>
        </c:dLbls>
        <c:gapWidth val="55"/>
        <c:axId val="1834599903"/>
        <c:axId val="1840731567"/>
      </c:barChart>
      <c:lineChart>
        <c:grouping val="standard"/>
        <c:varyColors val="0"/>
        <c:ser>
          <c:idx val="1"/>
          <c:order val="1"/>
          <c:tx>
            <c:strRef>
              <c:f>Helper!$D$49</c:f>
              <c:strCache>
                <c:ptCount val="1"/>
                <c:pt idx="0">
                  <c:v>Total Shipments</c:v>
                </c:pt>
              </c:strCache>
            </c:strRef>
          </c:tx>
          <c:spPr>
            <a:ln w="34925" cap="rnd">
              <a:solidFill>
                <a:srgbClr val="4F5D73">
                  <a:alpha val="90000"/>
                </a:srgbClr>
              </a:solidFill>
              <a:round/>
            </a:ln>
            <a:effectLst/>
          </c:spPr>
          <c:marker>
            <c:symbol val="circle"/>
            <c:size val="6"/>
            <c:spPr>
              <a:solidFill>
                <a:srgbClr val="4E5D6C"/>
              </a:solidFill>
              <a:ln w="9525">
                <a:noFill/>
              </a:ln>
              <a:effectLst/>
            </c:spPr>
          </c:marker>
          <c:dLbls>
            <c:dLbl>
              <c:idx val="0"/>
              <c:tx>
                <c:rich>
                  <a:bodyPr/>
                  <a:lstStyle/>
                  <a:p>
                    <a:fld id="{7A706961-5880-42F5-BD5E-7CAC5169FC76}" type="VALUE">
                      <a:rPr lang="en-US">
                        <a:solidFill>
                          <a:schemeClr val="bg2">
                            <a:lumMod val="25000"/>
                          </a:schemeClr>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4F3-4A81-8D02-425B3B35E8F3}"/>
                </c:ext>
              </c:extLst>
            </c:dLbl>
            <c:dLbl>
              <c:idx val="1"/>
              <c:layout>
                <c:manualLayout>
                  <c:x val="-2.0769865309676595E-2"/>
                  <c:y val="-5.7664998709585878E-2"/>
                </c:manualLayout>
              </c:layout>
              <c:tx>
                <c:rich>
                  <a:bodyPr/>
                  <a:lstStyle/>
                  <a:p>
                    <a:fld id="{2ED73393-F0E6-4A84-80C2-CCB126BC1B13}" type="VALUE">
                      <a:rPr lang="en-US">
                        <a:solidFill>
                          <a:schemeClr val="bg2">
                            <a:lumMod val="25000"/>
                          </a:schemeClr>
                        </a:solidFill>
                      </a:rPr>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4F3-4A81-8D02-425B3B35E8F3}"/>
                </c:ext>
              </c:extLst>
            </c:dLbl>
            <c:dLbl>
              <c:idx val="2"/>
              <c:layout>
                <c:manualLayout>
                  <c:x val="-2.0936050850617359E-2"/>
                  <c:y val="-3.9313719854152628E-2"/>
                </c:manualLayout>
              </c:layout>
              <c:tx>
                <c:rich>
                  <a:bodyPr/>
                  <a:lstStyle/>
                  <a:p>
                    <a:fld id="{A3730C18-52E2-40CA-AFAD-0B1C1AB18872}" type="VALUE">
                      <a:rPr lang="en-US">
                        <a:solidFill>
                          <a:schemeClr val="bg2">
                            <a:lumMod val="25000"/>
                          </a:schemeClr>
                        </a:solidFill>
                      </a:rPr>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4F3-4A81-8D02-425B3B35E8F3}"/>
                </c:ext>
              </c:extLst>
            </c:dLbl>
            <c:dLbl>
              <c:idx val="3"/>
              <c:tx>
                <c:rich>
                  <a:bodyPr/>
                  <a:lstStyle/>
                  <a:p>
                    <a:fld id="{23FD3983-EF26-4503-AC72-81F9C191A18C}" type="VALUE">
                      <a:rPr lang="en-US">
                        <a:solidFill>
                          <a:schemeClr val="bg2">
                            <a:lumMod val="25000"/>
                          </a:schemeClr>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D4F3-4A81-8D02-425B3B35E8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Helper!$B$50:$B$53</c:f>
              <c:strCache>
                <c:ptCount val="4"/>
                <c:pt idx="0">
                  <c:v>US-Central</c:v>
                </c:pt>
                <c:pt idx="1">
                  <c:v>US-East</c:v>
                </c:pt>
                <c:pt idx="2">
                  <c:v>US-South</c:v>
                </c:pt>
                <c:pt idx="3">
                  <c:v>US-West</c:v>
                </c:pt>
              </c:strCache>
            </c:strRef>
          </c:cat>
          <c:val>
            <c:numRef>
              <c:f>Helper!$D$50:$D$53</c:f>
              <c:numCache>
                <c:formatCode>0</c:formatCode>
                <c:ptCount val="4"/>
                <c:pt idx="0">
                  <c:v>177</c:v>
                </c:pt>
                <c:pt idx="1">
                  <c:v>171</c:v>
                </c:pt>
                <c:pt idx="2">
                  <c:v>330</c:v>
                </c:pt>
                <c:pt idx="3">
                  <c:v>322</c:v>
                </c:pt>
              </c:numCache>
            </c:numRef>
          </c:val>
          <c:smooth val="0"/>
          <c:extLst>
            <c:ext xmlns:c16="http://schemas.microsoft.com/office/drawing/2014/chart" uri="{C3380CC4-5D6E-409C-BE32-E72D297353CC}">
              <c16:uniqueId val="{00000005-D4F3-4A81-8D02-425B3B35E8F3}"/>
            </c:ext>
          </c:extLst>
        </c:ser>
        <c:dLbls>
          <c:showLegendKey val="0"/>
          <c:showVal val="0"/>
          <c:showCatName val="0"/>
          <c:showSerName val="0"/>
          <c:showPercent val="0"/>
          <c:showBubbleSize val="0"/>
        </c:dLbls>
        <c:marker val="1"/>
        <c:smooth val="0"/>
        <c:axId val="1823774223"/>
        <c:axId val="1948000559"/>
      </c:lineChart>
      <c:catAx>
        <c:axId val="183459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40731567"/>
        <c:crosses val="autoZero"/>
        <c:auto val="1"/>
        <c:lblAlgn val="ctr"/>
        <c:lblOffset val="100"/>
        <c:noMultiLvlLbl val="0"/>
      </c:catAx>
      <c:valAx>
        <c:axId val="184073156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b="0" i="0" u="none" strike="noStrike" baseline="0">
                    <a:latin typeface="Segoe UI" panose="020B0502040204020203" pitchFamily="34" charset="0"/>
                    <a:cs typeface="Segoe UI" panose="020B0502040204020203" pitchFamily="34" charset="0"/>
                  </a:rPr>
                  <a:t>SLA Compliance Rate (%)</a:t>
                </a:r>
                <a:endParaRPr lang="en-US" sz="900">
                  <a:latin typeface="Segoe UI" panose="020B0502040204020203" pitchFamily="34" charset="0"/>
                  <a:cs typeface="Segoe UI" panose="020B050204020402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34599903"/>
        <c:crosses val="autoZero"/>
        <c:crossBetween val="between"/>
        <c:majorUnit val="0.2"/>
      </c:valAx>
      <c:valAx>
        <c:axId val="1948000559"/>
        <c:scaling>
          <c:orientation val="minMax"/>
          <c:min val="100"/>
        </c:scaling>
        <c:delete val="0"/>
        <c:axPos val="r"/>
        <c:title>
          <c:tx>
            <c:rich>
              <a:bodyPr rot="5400000" spcFirstLastPara="1" vertOverflow="ellipsis"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a:latin typeface="Segoe UI" panose="020B0502040204020203" pitchFamily="34" charset="0"/>
                    <a:cs typeface="Segoe UI" panose="020B0502040204020203" pitchFamily="34" charset="0"/>
                  </a:rPr>
                  <a:t>Total Shipments</a:t>
                </a:r>
              </a:p>
            </c:rich>
          </c:tx>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23774223"/>
        <c:crosses val="max"/>
        <c:crossBetween val="between"/>
        <c:majorUnit val="50"/>
      </c:valAx>
      <c:catAx>
        <c:axId val="1823774223"/>
        <c:scaling>
          <c:orientation val="minMax"/>
        </c:scaling>
        <c:delete val="1"/>
        <c:axPos val="b"/>
        <c:numFmt formatCode="General" sourceLinked="1"/>
        <c:majorTickMark val="out"/>
        <c:minorTickMark val="none"/>
        <c:tickLblPos val="nextTo"/>
        <c:crossAx val="1948000559"/>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400" b="1" i="0" u="none" strike="noStrike" baseline="0"/>
              <a:t>Shipment Outcome Distribution by Warehouse</a:t>
            </a:r>
            <a:endParaRPr lang="en-US"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bar"/>
        <c:grouping val="percentStacked"/>
        <c:varyColors val="0"/>
        <c:ser>
          <c:idx val="1"/>
          <c:order val="0"/>
          <c:tx>
            <c:strRef>
              <c:f>Helper!$D$68</c:f>
              <c:strCache>
                <c:ptCount val="1"/>
                <c:pt idx="0">
                  <c:v>On-Time</c:v>
                </c:pt>
              </c:strCache>
            </c:strRef>
          </c:tx>
          <c:spPr>
            <a:solidFill>
              <a:srgbClr val="7AA35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20000"/>
                        <a:lumOff val="80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Helper!$B$69:$B$74</c:f>
              <c:strCache>
                <c:ptCount val="6"/>
                <c:pt idx="0">
                  <c:v>Newark Distribution Center</c:v>
                </c:pt>
                <c:pt idx="1">
                  <c:v>Dallas Consolidation Center</c:v>
                </c:pt>
                <c:pt idx="2">
                  <c:v>Reno Cross-Dock Facility</c:v>
                </c:pt>
                <c:pt idx="3">
                  <c:v>Columbus Regional Depot</c:v>
                </c:pt>
                <c:pt idx="4">
                  <c:v>Atlanta Fulfillment Hub</c:v>
                </c:pt>
                <c:pt idx="5">
                  <c:v>Tacoma Coastal Warehouse</c:v>
                </c:pt>
              </c:strCache>
            </c:strRef>
          </c:cat>
          <c:val>
            <c:numRef>
              <c:f>Helper!$D$69:$D$74</c:f>
              <c:numCache>
                <c:formatCode>0.0%</c:formatCode>
                <c:ptCount val="6"/>
                <c:pt idx="0">
                  <c:v>0.85964912280701755</c:v>
                </c:pt>
                <c:pt idx="1">
                  <c:v>0.84146341463414631</c:v>
                </c:pt>
                <c:pt idx="2">
                  <c:v>0.85906040268456374</c:v>
                </c:pt>
                <c:pt idx="3">
                  <c:v>0.80790960451977401</c:v>
                </c:pt>
                <c:pt idx="4">
                  <c:v>0.81325301204819278</c:v>
                </c:pt>
                <c:pt idx="5">
                  <c:v>0.83236994219653182</c:v>
                </c:pt>
              </c:numCache>
            </c:numRef>
          </c:val>
          <c:extLst>
            <c:ext xmlns:c16="http://schemas.microsoft.com/office/drawing/2014/chart" uri="{C3380CC4-5D6E-409C-BE32-E72D297353CC}">
              <c16:uniqueId val="{00000000-AE83-4755-9B48-DB076F991F79}"/>
            </c:ext>
          </c:extLst>
        </c:ser>
        <c:ser>
          <c:idx val="0"/>
          <c:order val="1"/>
          <c:tx>
            <c:strRef>
              <c:f>Helper!$C$68</c:f>
              <c:strCache>
                <c:ptCount val="1"/>
                <c:pt idx="0">
                  <c:v>Minor Delay</c:v>
                </c:pt>
              </c:strCache>
            </c:strRef>
          </c:tx>
          <c:spPr>
            <a:solidFill>
              <a:srgbClr val="E6B84A"/>
            </a:solidFill>
            <a:ln>
              <a:noFill/>
            </a:ln>
            <a:effectLst/>
          </c:spPr>
          <c:invertIfNegative val="0"/>
          <c:cat>
            <c:strRef>
              <c:f>Helper!$B$69:$B$74</c:f>
              <c:strCache>
                <c:ptCount val="6"/>
                <c:pt idx="0">
                  <c:v>Newark Distribution Center</c:v>
                </c:pt>
                <c:pt idx="1">
                  <c:v>Dallas Consolidation Center</c:v>
                </c:pt>
                <c:pt idx="2">
                  <c:v>Reno Cross-Dock Facility</c:v>
                </c:pt>
                <c:pt idx="3">
                  <c:v>Columbus Regional Depot</c:v>
                </c:pt>
                <c:pt idx="4">
                  <c:v>Atlanta Fulfillment Hub</c:v>
                </c:pt>
                <c:pt idx="5">
                  <c:v>Tacoma Coastal Warehouse</c:v>
                </c:pt>
              </c:strCache>
            </c:strRef>
          </c:cat>
          <c:val>
            <c:numRef>
              <c:f>Helper!$C$69:$C$74</c:f>
              <c:numCache>
                <c:formatCode>0.0%</c:formatCode>
                <c:ptCount val="6"/>
                <c:pt idx="0">
                  <c:v>6.4327485380116955E-2</c:v>
                </c:pt>
                <c:pt idx="1">
                  <c:v>7.926829268292683E-2</c:v>
                </c:pt>
                <c:pt idx="2">
                  <c:v>6.0402684563758392E-2</c:v>
                </c:pt>
                <c:pt idx="3">
                  <c:v>9.6045197740112997E-2</c:v>
                </c:pt>
                <c:pt idx="4">
                  <c:v>9.036144578313253E-2</c:v>
                </c:pt>
                <c:pt idx="5">
                  <c:v>5.2023121387283239E-2</c:v>
                </c:pt>
              </c:numCache>
            </c:numRef>
          </c:val>
          <c:extLst>
            <c:ext xmlns:c16="http://schemas.microsoft.com/office/drawing/2014/chart" uri="{C3380CC4-5D6E-409C-BE32-E72D297353CC}">
              <c16:uniqueId val="{00000001-AE83-4755-9B48-DB076F991F79}"/>
            </c:ext>
          </c:extLst>
        </c:ser>
        <c:ser>
          <c:idx val="2"/>
          <c:order val="2"/>
          <c:tx>
            <c:strRef>
              <c:f>Helper!$E$68</c:f>
              <c:strCache>
                <c:ptCount val="1"/>
                <c:pt idx="0">
                  <c:v>SLA Breach</c:v>
                </c:pt>
              </c:strCache>
            </c:strRef>
          </c:tx>
          <c:spPr>
            <a:solidFill>
              <a:srgbClr val="C85A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20000"/>
                        <a:lumOff val="80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Helper!$B$69:$B$74</c:f>
              <c:strCache>
                <c:ptCount val="6"/>
                <c:pt idx="0">
                  <c:v>Newark Distribution Center</c:v>
                </c:pt>
                <c:pt idx="1">
                  <c:v>Dallas Consolidation Center</c:v>
                </c:pt>
                <c:pt idx="2">
                  <c:v>Reno Cross-Dock Facility</c:v>
                </c:pt>
                <c:pt idx="3">
                  <c:v>Columbus Regional Depot</c:v>
                </c:pt>
                <c:pt idx="4">
                  <c:v>Atlanta Fulfillment Hub</c:v>
                </c:pt>
                <c:pt idx="5">
                  <c:v>Tacoma Coastal Warehouse</c:v>
                </c:pt>
              </c:strCache>
            </c:strRef>
          </c:cat>
          <c:val>
            <c:numRef>
              <c:f>Helper!$E$69:$E$74</c:f>
              <c:numCache>
                <c:formatCode>0.00%</c:formatCode>
                <c:ptCount val="6"/>
                <c:pt idx="0">
                  <c:v>7.6023391812865493E-2</c:v>
                </c:pt>
                <c:pt idx="1">
                  <c:v>7.926829268292683E-2</c:v>
                </c:pt>
                <c:pt idx="2">
                  <c:v>8.0536912751677847E-2</c:v>
                </c:pt>
                <c:pt idx="3">
                  <c:v>9.6045197740112997E-2</c:v>
                </c:pt>
                <c:pt idx="4">
                  <c:v>9.6385542168674704E-2</c:v>
                </c:pt>
                <c:pt idx="5">
                  <c:v>0.11560693641618497</c:v>
                </c:pt>
              </c:numCache>
            </c:numRef>
          </c:val>
          <c:extLst>
            <c:ext xmlns:c16="http://schemas.microsoft.com/office/drawing/2014/chart" uri="{C3380CC4-5D6E-409C-BE32-E72D297353CC}">
              <c16:uniqueId val="{00000002-AE83-4755-9B48-DB076F991F79}"/>
            </c:ext>
          </c:extLst>
        </c:ser>
        <c:dLbls>
          <c:showLegendKey val="0"/>
          <c:showVal val="0"/>
          <c:showCatName val="0"/>
          <c:showSerName val="0"/>
          <c:showPercent val="0"/>
          <c:showBubbleSize val="0"/>
        </c:dLbls>
        <c:gapWidth val="45"/>
        <c:overlap val="100"/>
        <c:axId val="2037090223"/>
        <c:axId val="1931741839"/>
      </c:barChart>
      <c:catAx>
        <c:axId val="203709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931741839"/>
        <c:crosses val="autoZero"/>
        <c:auto val="1"/>
        <c:lblAlgn val="ctr"/>
        <c:lblOffset val="100"/>
        <c:noMultiLvlLbl val="0"/>
      </c:catAx>
      <c:valAx>
        <c:axId val="193174183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037090223"/>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baseline="0">
                <a:latin typeface="Segoe UI" panose="020B0502040204020203" pitchFamily="34" charset="0"/>
                <a:cs typeface="Segoe UI" panose="020B0502040204020203" pitchFamily="34" charset="0"/>
              </a:rPr>
              <a:t>Shipment Schedule Variance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800" i="1">
                <a:solidFill>
                  <a:schemeClr val="bg1">
                    <a:lumMod val="50000"/>
                  </a:schemeClr>
                </a:solidFill>
                <a:latin typeface="Segoe UI" panose="020B0502040204020203" pitchFamily="34" charset="0"/>
                <a:cs typeface="Segoe UI" panose="020B0502040204020203" pitchFamily="34" charset="0"/>
              </a:rPr>
              <a:t>Distribution by days from promised ship date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Helper!$C$87</c:f>
              <c:strCache>
                <c:ptCount val="1"/>
                <c:pt idx="0">
                  <c:v>Total Shipments</c:v>
                </c:pt>
              </c:strCache>
            </c:strRef>
          </c:tx>
          <c:spPr>
            <a:solidFill>
              <a:srgbClr val="6F9E52"/>
            </a:solidFill>
            <a:ln>
              <a:noFill/>
            </a:ln>
            <a:effectLst/>
          </c:spPr>
          <c:invertIfNegative val="0"/>
          <c:dPt>
            <c:idx val="0"/>
            <c:invertIfNegative val="0"/>
            <c:bubble3D val="0"/>
            <c:spPr>
              <a:solidFill>
                <a:srgbClr val="88B36B"/>
              </a:solidFill>
              <a:ln>
                <a:noFill/>
              </a:ln>
              <a:effectLst/>
            </c:spPr>
            <c:extLst>
              <c:ext xmlns:c16="http://schemas.microsoft.com/office/drawing/2014/chart" uri="{C3380CC4-5D6E-409C-BE32-E72D297353CC}">
                <c16:uniqueId val="{00000001-64CA-4666-A358-3399FD291FB8}"/>
              </c:ext>
            </c:extLst>
          </c:dPt>
          <c:dPt>
            <c:idx val="1"/>
            <c:invertIfNegative val="0"/>
            <c:bubble3D val="0"/>
            <c:spPr>
              <a:solidFill>
                <a:srgbClr val="5D8C46"/>
              </a:solidFill>
              <a:ln>
                <a:noFill/>
              </a:ln>
              <a:effectLst/>
            </c:spPr>
            <c:extLst>
              <c:ext xmlns:c16="http://schemas.microsoft.com/office/drawing/2014/chart" uri="{C3380CC4-5D6E-409C-BE32-E72D297353CC}">
                <c16:uniqueId val="{00000003-64CA-4666-A358-3399FD291FB8}"/>
              </c:ext>
            </c:extLst>
          </c:dPt>
          <c:dPt>
            <c:idx val="2"/>
            <c:invertIfNegative val="0"/>
            <c:bubble3D val="0"/>
            <c:spPr>
              <a:solidFill>
                <a:srgbClr val="E5B547"/>
              </a:solidFill>
              <a:ln>
                <a:noFill/>
              </a:ln>
              <a:effectLst/>
            </c:spPr>
            <c:extLst>
              <c:ext xmlns:c16="http://schemas.microsoft.com/office/drawing/2014/chart" uri="{C3380CC4-5D6E-409C-BE32-E72D297353CC}">
                <c16:uniqueId val="{00000005-64CA-4666-A358-3399FD291FB8}"/>
              </c:ext>
            </c:extLst>
          </c:dPt>
          <c:dPt>
            <c:idx val="3"/>
            <c:invertIfNegative val="0"/>
            <c:bubble3D val="0"/>
            <c:spPr>
              <a:solidFill>
                <a:srgbClr val="C65B57"/>
              </a:solidFill>
              <a:ln>
                <a:noFill/>
              </a:ln>
              <a:effectLst/>
            </c:spPr>
            <c:extLst>
              <c:ext xmlns:c16="http://schemas.microsoft.com/office/drawing/2014/chart" uri="{C3380CC4-5D6E-409C-BE32-E72D297353CC}">
                <c16:uniqueId val="{00000007-64CA-4666-A358-3399FD291FB8}"/>
              </c:ext>
            </c:extLst>
          </c:dPt>
          <c:dPt>
            <c:idx val="4"/>
            <c:invertIfNegative val="0"/>
            <c:bubble3D val="0"/>
            <c:spPr>
              <a:solidFill>
                <a:srgbClr val="B5433D"/>
              </a:solidFill>
              <a:ln>
                <a:noFill/>
              </a:ln>
              <a:effectLst/>
            </c:spPr>
            <c:extLst>
              <c:ext xmlns:c16="http://schemas.microsoft.com/office/drawing/2014/chart" uri="{C3380CC4-5D6E-409C-BE32-E72D297353CC}">
                <c16:uniqueId val="{00000009-64CA-4666-A358-3399FD291FB8}"/>
              </c:ext>
            </c:extLst>
          </c:dPt>
          <c:dPt>
            <c:idx val="5"/>
            <c:invertIfNegative val="0"/>
            <c:bubble3D val="0"/>
            <c:spPr>
              <a:solidFill>
                <a:srgbClr val="953833"/>
              </a:solidFill>
              <a:ln>
                <a:noFill/>
              </a:ln>
              <a:effectLst/>
            </c:spPr>
            <c:extLst>
              <c:ext xmlns:c16="http://schemas.microsoft.com/office/drawing/2014/chart" uri="{C3380CC4-5D6E-409C-BE32-E72D297353CC}">
                <c16:uniqueId val="{0000000B-64CA-4666-A358-3399FD291F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Helper!$B$88:$B$93</c:f>
              <c:strCache>
                <c:ptCount val="6"/>
                <c:pt idx="0">
                  <c:v>1 Day Early</c:v>
                </c:pt>
                <c:pt idx="1">
                  <c:v>On Time</c:v>
                </c:pt>
                <c:pt idx="2">
                  <c:v>1 Day Late</c:v>
                </c:pt>
                <c:pt idx="3">
                  <c:v>2 Days Late</c:v>
                </c:pt>
                <c:pt idx="4">
                  <c:v>3 Days Late</c:v>
                </c:pt>
                <c:pt idx="5">
                  <c:v>4+ Days Late</c:v>
                </c:pt>
              </c:strCache>
            </c:strRef>
          </c:cat>
          <c:val>
            <c:numRef>
              <c:f>Helper!$C$88:$C$93</c:f>
              <c:numCache>
                <c:formatCode>0.0%</c:formatCode>
                <c:ptCount val="6"/>
                <c:pt idx="0">
                  <c:v>0.26800000000000002</c:v>
                </c:pt>
                <c:pt idx="1">
                  <c:v>0.56699999999999995</c:v>
                </c:pt>
                <c:pt idx="2">
                  <c:v>9.0999999999999998E-2</c:v>
                </c:pt>
                <c:pt idx="3">
                  <c:v>4.1000000000000002E-2</c:v>
                </c:pt>
                <c:pt idx="4">
                  <c:v>1.7000000000000001E-2</c:v>
                </c:pt>
                <c:pt idx="5">
                  <c:v>1.6E-2</c:v>
                </c:pt>
              </c:numCache>
            </c:numRef>
          </c:val>
          <c:extLst>
            <c:ext xmlns:c16="http://schemas.microsoft.com/office/drawing/2014/chart" uri="{C3380CC4-5D6E-409C-BE32-E72D297353CC}">
              <c16:uniqueId val="{0000000C-64CA-4666-A358-3399FD291FB8}"/>
            </c:ext>
          </c:extLst>
        </c:ser>
        <c:dLbls>
          <c:showLegendKey val="0"/>
          <c:showVal val="0"/>
          <c:showCatName val="0"/>
          <c:showSerName val="0"/>
          <c:showPercent val="0"/>
          <c:showBubbleSize val="0"/>
        </c:dLbls>
        <c:gapWidth val="40"/>
        <c:overlap val="-27"/>
        <c:axId val="759650735"/>
        <c:axId val="1947867119"/>
      </c:barChart>
      <c:catAx>
        <c:axId val="75965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947867119"/>
        <c:crosses val="autoZero"/>
        <c:auto val="1"/>
        <c:lblAlgn val="ctr"/>
        <c:lblOffset val="100"/>
        <c:noMultiLvlLbl val="0"/>
      </c:catAx>
      <c:valAx>
        <c:axId val="1947867119"/>
        <c:scaling>
          <c:orientation val="minMax"/>
        </c:scaling>
        <c:delete val="1"/>
        <c:axPos val="l"/>
        <c:numFmt formatCode="0.0%" sourceLinked="1"/>
        <c:majorTickMark val="none"/>
        <c:minorTickMark val="none"/>
        <c:tickLblPos val="nextTo"/>
        <c:crossAx val="7596507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Segoe UI" panose="020B0502040204020203" pitchFamily="34" charset="0"/>
                <a:cs typeface="Segoe UI" panose="020B0502040204020203" pitchFamily="34" charset="0"/>
              </a:rPr>
              <a:t>Buffer Day Trade-off Analysis</a:t>
            </a:r>
          </a:p>
          <a:p>
            <a:pPr>
              <a:defRPr/>
            </a:pPr>
            <a:r>
              <a:rPr lang="en-US" sz="800" b="0" i="1" u="none" strike="noStrike" baseline="0">
                <a:solidFill>
                  <a:schemeClr val="bg1">
                    <a:lumMod val="50000"/>
                  </a:schemeClr>
                </a:solidFill>
                <a:latin typeface="Segoe UI" panose="020B0502040204020203" pitchFamily="34" charset="0"/>
                <a:cs typeface="Segoe UI" panose="020B0502040204020203" pitchFamily="34" charset="0"/>
              </a:rPr>
              <a:t>Modeled impact of additional promise-window buffer days</a:t>
            </a:r>
            <a:endParaRPr lang="en-US" sz="800" b="1" i="1">
              <a:solidFill>
                <a:schemeClr val="bg1">
                  <a:lumMod val="50000"/>
                </a:schemeClr>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Helper!$C$102</c:f>
              <c:strCache>
                <c:ptCount val="1"/>
                <c:pt idx="0">
                  <c:v>Penalty</c:v>
                </c:pt>
              </c:strCache>
            </c:strRef>
          </c:tx>
          <c:spPr>
            <a:solidFill>
              <a:srgbClr val="8FA3BF"/>
            </a:solidFill>
            <a:ln>
              <a:noFill/>
            </a:ln>
            <a:effectLst/>
          </c:spPr>
          <c:invertIfNegative val="0"/>
          <c:dPt>
            <c:idx val="1"/>
            <c:invertIfNegative val="0"/>
            <c:bubble3D val="0"/>
            <c:spPr>
              <a:solidFill>
                <a:srgbClr val="5B7FA6"/>
              </a:solidFill>
              <a:ln>
                <a:noFill/>
              </a:ln>
              <a:effectLst/>
            </c:spPr>
            <c:extLst>
              <c:ext xmlns:c16="http://schemas.microsoft.com/office/drawing/2014/chart" uri="{C3380CC4-5D6E-409C-BE32-E72D297353CC}">
                <c16:uniqueId val="{00000001-5127-45AA-8821-9B7097540D3D}"/>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5">
                        <a:lumMod val="50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Helper!$B$103:$B$107</c:f>
              <c:numCache>
                <c:formatCode>0</c:formatCode>
                <c:ptCount val="5"/>
                <c:pt idx="0">
                  <c:v>0</c:v>
                </c:pt>
                <c:pt idx="1">
                  <c:v>1</c:v>
                </c:pt>
                <c:pt idx="2">
                  <c:v>2</c:v>
                </c:pt>
                <c:pt idx="3">
                  <c:v>3</c:v>
                </c:pt>
                <c:pt idx="4">
                  <c:v>4</c:v>
                </c:pt>
              </c:numCache>
            </c:numRef>
          </c:cat>
          <c:val>
            <c:numRef>
              <c:f>Helper!$C$103:$C$107</c:f>
              <c:numCache>
                <c:formatCode>"$"#,##0</c:formatCode>
                <c:ptCount val="5"/>
                <c:pt idx="0">
                  <c:v>21600</c:v>
                </c:pt>
                <c:pt idx="1">
                  <c:v>9225</c:v>
                </c:pt>
                <c:pt idx="2">
                  <c:v>3675</c:v>
                </c:pt>
                <c:pt idx="3">
                  <c:v>1200</c:v>
                </c:pt>
                <c:pt idx="4">
                  <c:v>0</c:v>
                </c:pt>
              </c:numCache>
            </c:numRef>
          </c:val>
          <c:extLst>
            <c:ext xmlns:c16="http://schemas.microsoft.com/office/drawing/2014/chart" uri="{C3380CC4-5D6E-409C-BE32-E72D297353CC}">
              <c16:uniqueId val="{00000002-5127-45AA-8821-9B7097540D3D}"/>
            </c:ext>
          </c:extLst>
        </c:ser>
        <c:dLbls>
          <c:dLblPos val="inEnd"/>
          <c:showLegendKey val="0"/>
          <c:showVal val="1"/>
          <c:showCatName val="0"/>
          <c:showSerName val="0"/>
          <c:showPercent val="0"/>
          <c:showBubbleSize val="0"/>
        </c:dLbls>
        <c:gapWidth val="55"/>
        <c:overlap val="-27"/>
        <c:axId val="759548655"/>
        <c:axId val="1947848399"/>
        <c:extLst>
          <c:ext xmlns:c15="http://schemas.microsoft.com/office/drawing/2012/chart" uri="{02D57815-91ED-43cb-92C2-25804820EDAC}">
            <c15:filteredBarSeries>
              <c15:ser>
                <c:idx val="0"/>
                <c:order val="0"/>
                <c:tx>
                  <c:strRef>
                    <c:extLst>
                      <c:ext uri="{02D57815-91ED-43cb-92C2-25804820EDAC}">
                        <c15:formulaRef>
                          <c15:sqref>Helper!$B$102</c15:sqref>
                        </c15:formulaRef>
                      </c:ext>
                    </c:extLst>
                    <c:strCache>
                      <c:ptCount val="1"/>
                      <c:pt idx="0">
                        <c:v>Buffer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Helper!$B$103:$B$107</c15:sqref>
                        </c15:formulaRef>
                      </c:ext>
                    </c:extLst>
                    <c:numCache>
                      <c:formatCode>0</c:formatCode>
                      <c:ptCount val="5"/>
                      <c:pt idx="0">
                        <c:v>0</c:v>
                      </c:pt>
                      <c:pt idx="1">
                        <c:v>1</c:v>
                      </c:pt>
                      <c:pt idx="2">
                        <c:v>2</c:v>
                      </c:pt>
                      <c:pt idx="3">
                        <c:v>3</c:v>
                      </c:pt>
                      <c:pt idx="4">
                        <c:v>4</c:v>
                      </c:pt>
                    </c:numCache>
                  </c:numRef>
                </c:cat>
                <c:val>
                  <c:numRef>
                    <c:extLst>
                      <c:ext uri="{02D57815-91ED-43cb-92C2-25804820EDAC}">
                        <c15:formulaRef>
                          <c15:sqref>Helper!$B$103:$B$107</c15:sqref>
                        </c15:formulaRef>
                      </c:ext>
                    </c:extLst>
                    <c:numCache>
                      <c:formatCode>0</c:formatCode>
                      <c:ptCount val="5"/>
                      <c:pt idx="0">
                        <c:v>0</c:v>
                      </c:pt>
                      <c:pt idx="1">
                        <c:v>1</c:v>
                      </c:pt>
                      <c:pt idx="2">
                        <c:v>2</c:v>
                      </c:pt>
                      <c:pt idx="3">
                        <c:v>3</c:v>
                      </c:pt>
                      <c:pt idx="4">
                        <c:v>4</c:v>
                      </c:pt>
                    </c:numCache>
                  </c:numRef>
                </c:val>
                <c:extLst>
                  <c:ext xmlns:c16="http://schemas.microsoft.com/office/drawing/2014/chart" uri="{C3380CC4-5D6E-409C-BE32-E72D297353CC}">
                    <c16:uniqueId val="{0000000E-5127-45AA-8821-9B7097540D3D}"/>
                  </c:ext>
                </c:extLst>
              </c15:ser>
            </c15:filteredBarSeries>
          </c:ext>
        </c:extLst>
      </c:barChart>
      <c:lineChart>
        <c:grouping val="standard"/>
        <c:varyColors val="0"/>
        <c:ser>
          <c:idx val="2"/>
          <c:order val="2"/>
          <c:tx>
            <c:strRef>
              <c:f>Helper!$D$102</c:f>
              <c:strCache>
                <c:ptCount val="1"/>
                <c:pt idx="0">
                  <c:v>Compliance</c:v>
                </c:pt>
              </c:strCache>
            </c:strRef>
          </c:tx>
          <c:spPr>
            <a:ln w="31750" cap="rnd">
              <a:solidFill>
                <a:srgbClr val="BA7517"/>
              </a:solidFill>
              <a:round/>
            </a:ln>
            <a:effectLst/>
          </c:spPr>
          <c:marker>
            <c:symbol val="square"/>
            <c:size val="6"/>
            <c:spPr>
              <a:solidFill>
                <a:srgbClr val="BA7517"/>
              </a:solidFill>
              <a:ln w="9525">
                <a:noFill/>
              </a:ln>
              <a:effectLst/>
            </c:spPr>
          </c:marker>
          <c:dLbls>
            <c:dLbl>
              <c:idx val="0"/>
              <c:layout>
                <c:manualLayout>
                  <c:x val="-5.8229668360627783E-2"/>
                  <c:y val="-6.4743201667408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27-45AA-8821-9B7097540D3D}"/>
                </c:ext>
              </c:extLst>
            </c:dLbl>
            <c:dLbl>
              <c:idx val="2"/>
              <c:delete val="1"/>
              <c:extLst>
                <c:ext xmlns:c15="http://schemas.microsoft.com/office/drawing/2012/chart" uri="{CE6537A1-D6FC-4f65-9D91-7224C49458BB}"/>
                <c:ext xmlns:c16="http://schemas.microsoft.com/office/drawing/2014/chart" uri="{C3380CC4-5D6E-409C-BE32-E72D297353CC}">
                  <c16:uniqueId val="{00000004-5127-45AA-8821-9B7097540D3D}"/>
                </c:ext>
              </c:extLst>
            </c:dLbl>
            <c:dLbl>
              <c:idx val="3"/>
              <c:delete val="1"/>
              <c:extLst>
                <c:ext xmlns:c15="http://schemas.microsoft.com/office/drawing/2012/chart" uri="{CE6537A1-D6FC-4f65-9D91-7224C49458BB}"/>
                <c:ext xmlns:c16="http://schemas.microsoft.com/office/drawing/2014/chart" uri="{C3380CC4-5D6E-409C-BE32-E72D297353CC}">
                  <c16:uniqueId val="{00000005-5127-45AA-8821-9B7097540D3D}"/>
                </c:ext>
              </c:extLst>
            </c:dLbl>
            <c:dLbl>
              <c:idx val="4"/>
              <c:delete val="1"/>
              <c:extLst>
                <c:ext xmlns:c15="http://schemas.microsoft.com/office/drawing/2012/chart" uri="{CE6537A1-D6FC-4f65-9D91-7224C49458BB}"/>
                <c:ext xmlns:c16="http://schemas.microsoft.com/office/drawing/2014/chart" uri="{C3380CC4-5D6E-409C-BE32-E72D297353CC}">
                  <c16:uniqueId val="{00000006-5127-45AA-8821-9B7097540D3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Helper!$D$103:$D$107</c:f>
              <c:numCache>
                <c:formatCode>0.0%</c:formatCode>
                <c:ptCount val="5"/>
                <c:pt idx="0">
                  <c:v>0.83499999999999996</c:v>
                </c:pt>
                <c:pt idx="1">
                  <c:v>0.92600000000000005</c:v>
                </c:pt>
                <c:pt idx="2">
                  <c:v>0.96699999999999997</c:v>
                </c:pt>
                <c:pt idx="3">
                  <c:v>0.98399999999999999</c:v>
                </c:pt>
                <c:pt idx="4">
                  <c:v>1</c:v>
                </c:pt>
              </c:numCache>
            </c:numRef>
          </c:val>
          <c:smooth val="0"/>
          <c:extLst>
            <c:ext xmlns:c16="http://schemas.microsoft.com/office/drawing/2014/chart" uri="{C3380CC4-5D6E-409C-BE32-E72D297353CC}">
              <c16:uniqueId val="{00000007-5127-45AA-8821-9B7097540D3D}"/>
            </c:ext>
          </c:extLst>
        </c:ser>
        <c:ser>
          <c:idx val="3"/>
          <c:order val="3"/>
          <c:tx>
            <c:strRef>
              <c:f>Helper!$E$102</c:f>
              <c:strCache>
                <c:ptCount val="1"/>
                <c:pt idx="0">
                  <c:v>Target</c:v>
                </c:pt>
              </c:strCache>
            </c:strRef>
          </c:tx>
          <c:spPr>
            <a:ln w="22225" cap="rnd">
              <a:solidFill>
                <a:srgbClr val="BDBDBD"/>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5127-45AA-8821-9B7097540D3D}"/>
                </c:ext>
              </c:extLst>
            </c:dLbl>
            <c:dLbl>
              <c:idx val="1"/>
              <c:delete val="1"/>
              <c:extLst>
                <c:ext xmlns:c15="http://schemas.microsoft.com/office/drawing/2012/chart" uri="{CE6537A1-D6FC-4f65-9D91-7224C49458BB}"/>
                <c:ext xmlns:c16="http://schemas.microsoft.com/office/drawing/2014/chart" uri="{C3380CC4-5D6E-409C-BE32-E72D297353CC}">
                  <c16:uniqueId val="{00000009-5127-45AA-8821-9B7097540D3D}"/>
                </c:ext>
              </c:extLst>
            </c:dLbl>
            <c:dLbl>
              <c:idx val="2"/>
              <c:delete val="1"/>
              <c:extLst>
                <c:ext xmlns:c15="http://schemas.microsoft.com/office/drawing/2012/chart" uri="{CE6537A1-D6FC-4f65-9D91-7224C49458BB}"/>
                <c:ext xmlns:c16="http://schemas.microsoft.com/office/drawing/2014/chart" uri="{C3380CC4-5D6E-409C-BE32-E72D297353CC}">
                  <c16:uniqueId val="{0000000A-5127-45AA-8821-9B7097540D3D}"/>
                </c:ext>
              </c:extLst>
            </c:dLbl>
            <c:dLbl>
              <c:idx val="3"/>
              <c:delete val="1"/>
              <c:extLst>
                <c:ext xmlns:c15="http://schemas.microsoft.com/office/drawing/2012/chart" uri="{CE6537A1-D6FC-4f65-9D91-7224C49458BB}"/>
                <c:ext xmlns:c16="http://schemas.microsoft.com/office/drawing/2014/chart" uri="{C3380CC4-5D6E-409C-BE32-E72D297353CC}">
                  <c16:uniqueId val="{0000000B-5127-45AA-8821-9B7097540D3D}"/>
                </c:ext>
              </c:extLst>
            </c:dLbl>
            <c:dLbl>
              <c:idx val="4"/>
              <c:layout>
                <c:manualLayout>
                  <c:x val="-0.11916948526034853"/>
                  <c:y val="-3.0658183565048479E-2"/>
                </c:manualLayout>
              </c:layout>
              <c:tx>
                <c:rich>
                  <a:bodyPr/>
                  <a:lstStyle/>
                  <a:p>
                    <a:r>
                      <a:rPr lang="en-US" sz="800">
                        <a:solidFill>
                          <a:schemeClr val="bg1">
                            <a:lumMod val="65000"/>
                          </a:schemeClr>
                        </a:solidFill>
                        <a:latin typeface="Segoe UI" panose="020B0502040204020203" pitchFamily="34" charset="0"/>
                        <a:cs typeface="Segoe UI" panose="020B0502040204020203" pitchFamily="34" charset="0"/>
                      </a:rPr>
                      <a:t>90% Target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127-45AA-8821-9B7097540D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Helper!$E$103:$E$107</c:f>
              <c:numCache>
                <c:formatCode>0%</c:formatCode>
                <c:ptCount val="5"/>
                <c:pt idx="0">
                  <c:v>0.9</c:v>
                </c:pt>
                <c:pt idx="1">
                  <c:v>0.9</c:v>
                </c:pt>
                <c:pt idx="2">
                  <c:v>0.9</c:v>
                </c:pt>
                <c:pt idx="3">
                  <c:v>0.9</c:v>
                </c:pt>
                <c:pt idx="4">
                  <c:v>0.9</c:v>
                </c:pt>
              </c:numCache>
            </c:numRef>
          </c:val>
          <c:smooth val="0"/>
          <c:extLst>
            <c:ext xmlns:c16="http://schemas.microsoft.com/office/drawing/2014/chart" uri="{C3380CC4-5D6E-409C-BE32-E72D297353CC}">
              <c16:uniqueId val="{0000000D-5127-45AA-8821-9B7097540D3D}"/>
            </c:ext>
          </c:extLst>
        </c:ser>
        <c:dLbls>
          <c:showLegendKey val="0"/>
          <c:showVal val="1"/>
          <c:showCatName val="0"/>
          <c:showSerName val="0"/>
          <c:showPercent val="0"/>
          <c:showBubbleSize val="0"/>
        </c:dLbls>
        <c:marker val="1"/>
        <c:smooth val="0"/>
        <c:axId val="759640527"/>
        <c:axId val="1947869039"/>
      </c:lineChart>
      <c:catAx>
        <c:axId val="759548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solidFill>
                      <a:srgbClr val="595959"/>
                    </a:solidFill>
                    <a:latin typeface="Segoe UI" panose="020B0502040204020203" pitchFamily="34" charset="0"/>
                    <a:cs typeface="Segoe UI" panose="020B0502040204020203" pitchFamily="34" charset="0"/>
                  </a:rPr>
                  <a:t>Additional Buffer Days</a:t>
                </a:r>
                <a:endParaRPr lang="en-US">
                  <a:solidFill>
                    <a:srgbClr val="595959"/>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947848399"/>
        <c:crosses val="autoZero"/>
        <c:auto val="1"/>
        <c:lblAlgn val="ctr"/>
        <c:lblOffset val="100"/>
        <c:noMultiLvlLbl val="0"/>
      </c:catAx>
      <c:valAx>
        <c:axId val="1947848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solidFill>
                      <a:srgbClr val="595959"/>
                    </a:solidFill>
                    <a:latin typeface="Segoe UI" panose="020B0502040204020203" pitchFamily="34" charset="0"/>
                    <a:cs typeface="Segoe UI" panose="020B0502040204020203" pitchFamily="34" charset="0"/>
                  </a:rPr>
                  <a:t>Penalty Exposure ($)</a:t>
                </a:r>
                <a:endParaRPr lang="en-US" sz="1000">
                  <a:solidFill>
                    <a:srgbClr val="595959"/>
                  </a:solidFill>
                  <a:latin typeface="Segoe UI" panose="020B0502040204020203" pitchFamily="34" charset="0"/>
                  <a:cs typeface="Segoe UI" panose="020B050204020402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759548655"/>
        <c:crosses val="autoZero"/>
        <c:crossBetween val="between"/>
      </c:valAx>
      <c:valAx>
        <c:axId val="1947869039"/>
        <c:scaling>
          <c:orientation val="minMax"/>
          <c:max val="1"/>
          <c:min val="0.8"/>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759640527"/>
        <c:crosses val="max"/>
        <c:crossBetween val="between"/>
        <c:majorUnit val="5.000000000000001E-2"/>
      </c:valAx>
      <c:catAx>
        <c:axId val="759640527"/>
        <c:scaling>
          <c:orientation val="minMax"/>
        </c:scaling>
        <c:delete val="1"/>
        <c:axPos val="b"/>
        <c:majorTickMark val="out"/>
        <c:minorTickMark val="none"/>
        <c:tickLblPos val="nextTo"/>
        <c:crossAx val="19478690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300" b="1">
                <a:latin typeface="Segoe UI" panose="020B0502040204020203" pitchFamily="34" charset="0"/>
                <a:cs typeface="Segoe UI" panose="020B0502040204020203" pitchFamily="34" charset="0"/>
              </a:rPr>
              <a:t>Monthly On-Time Ship Rate</a:t>
            </a:r>
            <a:r>
              <a:rPr lang="en-US" sz="1300" b="1" baseline="0">
                <a:latin typeface="Segoe UI" panose="020B0502040204020203" pitchFamily="34" charset="0"/>
                <a:cs typeface="Segoe UI" panose="020B0502040204020203" pitchFamily="34" charset="0"/>
              </a:rPr>
              <a:t> vs 90% Target</a:t>
            </a:r>
            <a:endParaRPr lang="en-US" sz="13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lineChart>
        <c:grouping val="standard"/>
        <c:varyColors val="0"/>
        <c:ser>
          <c:idx val="0"/>
          <c:order val="0"/>
          <c:tx>
            <c:strRef>
              <c:f>Helper!$C$2</c:f>
              <c:strCache>
                <c:ptCount val="1"/>
                <c:pt idx="0">
                  <c:v>SLA Compliance Rate</c:v>
                </c:pt>
              </c:strCache>
            </c:strRef>
          </c:tx>
          <c:spPr>
            <a:ln w="38100" cap="rnd">
              <a:solidFill>
                <a:srgbClr val="C55A11">
                  <a:alpha val="90000"/>
                </a:srgbClr>
              </a:solidFill>
              <a:round/>
            </a:ln>
            <a:effectLst/>
          </c:spPr>
          <c:marker>
            <c:symbol val="circle"/>
            <c:size val="6"/>
            <c:spPr>
              <a:solidFill>
                <a:srgbClr val="C55A11"/>
              </a:solidFill>
              <a:ln w="9525">
                <a:noFill/>
              </a:ln>
              <a:effectLst/>
            </c:spPr>
          </c:marker>
          <c:dLbls>
            <c:dLbl>
              <c:idx val="1"/>
              <c:delete val="1"/>
              <c:extLst>
                <c:ext xmlns:c15="http://schemas.microsoft.com/office/drawing/2012/chart" uri="{CE6537A1-D6FC-4f65-9D91-7224C49458BB}"/>
                <c:ext xmlns:c16="http://schemas.microsoft.com/office/drawing/2014/chart" uri="{C3380CC4-5D6E-409C-BE32-E72D297353CC}">
                  <c16:uniqueId val="{00000002-A48A-49C1-9586-1011F0D8EE8C}"/>
                </c:ext>
              </c:extLst>
            </c:dLbl>
            <c:dLbl>
              <c:idx val="2"/>
              <c:delete val="1"/>
              <c:extLst>
                <c:ext xmlns:c15="http://schemas.microsoft.com/office/drawing/2012/chart" uri="{CE6537A1-D6FC-4f65-9D91-7224C49458BB}"/>
                <c:ext xmlns:c16="http://schemas.microsoft.com/office/drawing/2014/chart" uri="{C3380CC4-5D6E-409C-BE32-E72D297353CC}">
                  <c16:uniqueId val="{00000003-A48A-49C1-9586-1011F0D8EE8C}"/>
                </c:ext>
              </c:extLst>
            </c:dLbl>
            <c:dLbl>
              <c:idx val="3"/>
              <c:layout>
                <c:manualLayout>
                  <c:x val="-5.8013998250218725E-2"/>
                  <c:y val="3.01622193059200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8A-49C1-9586-1011F0D8EE8C}"/>
                </c:ext>
              </c:extLst>
            </c:dLbl>
            <c:dLbl>
              <c:idx val="4"/>
              <c:delete val="1"/>
              <c:extLst>
                <c:ext xmlns:c15="http://schemas.microsoft.com/office/drawing/2012/chart" uri="{CE6537A1-D6FC-4f65-9D91-7224C49458BB}"/>
                <c:ext xmlns:c16="http://schemas.microsoft.com/office/drawing/2014/chart" uri="{C3380CC4-5D6E-409C-BE32-E72D297353CC}">
                  <c16:uniqueId val="{00000005-A48A-49C1-9586-1011F0D8EE8C}"/>
                </c:ext>
              </c:extLst>
            </c:dLbl>
            <c:dLbl>
              <c:idx val="5"/>
              <c:delete val="1"/>
              <c:extLst>
                <c:ext xmlns:c15="http://schemas.microsoft.com/office/drawing/2012/chart" uri="{CE6537A1-D6FC-4f65-9D91-7224C49458BB}"/>
                <c:ext xmlns:c16="http://schemas.microsoft.com/office/drawing/2014/chart" uri="{C3380CC4-5D6E-409C-BE32-E72D297353CC}">
                  <c16:uniqueId val="{00000006-A48A-49C1-9586-1011F0D8EE8C}"/>
                </c:ext>
              </c:extLst>
            </c:dLbl>
            <c:dLbl>
              <c:idx val="6"/>
              <c:delete val="1"/>
              <c:extLst>
                <c:ext xmlns:c15="http://schemas.microsoft.com/office/drawing/2012/chart" uri="{CE6537A1-D6FC-4f65-9D91-7224C49458BB}"/>
                <c:ext xmlns:c16="http://schemas.microsoft.com/office/drawing/2014/chart" uri="{C3380CC4-5D6E-409C-BE32-E72D297353CC}">
                  <c16:uniqueId val="{00000007-A48A-49C1-9586-1011F0D8EE8C}"/>
                </c:ext>
              </c:extLst>
            </c:dLbl>
            <c:dLbl>
              <c:idx val="7"/>
              <c:delete val="1"/>
              <c:extLst>
                <c:ext xmlns:c15="http://schemas.microsoft.com/office/drawing/2012/chart" uri="{CE6537A1-D6FC-4f65-9D91-7224C49458BB}"/>
                <c:ext xmlns:c16="http://schemas.microsoft.com/office/drawing/2014/chart" uri="{C3380CC4-5D6E-409C-BE32-E72D297353CC}">
                  <c16:uniqueId val="{00000009-A48A-49C1-9586-1011F0D8EE8C}"/>
                </c:ext>
              </c:extLst>
            </c:dLbl>
            <c:dLbl>
              <c:idx val="8"/>
              <c:delete val="1"/>
              <c:extLst>
                <c:ext xmlns:c15="http://schemas.microsoft.com/office/drawing/2012/chart" uri="{CE6537A1-D6FC-4f65-9D91-7224C49458BB}"/>
                <c:ext xmlns:c16="http://schemas.microsoft.com/office/drawing/2014/chart" uri="{C3380CC4-5D6E-409C-BE32-E72D297353CC}">
                  <c16:uniqueId val="{00000008-A48A-49C1-9586-1011F0D8EE8C}"/>
                </c:ext>
              </c:extLst>
            </c:dLbl>
            <c:dLbl>
              <c:idx val="9"/>
              <c:delete val="1"/>
              <c:extLst>
                <c:ext xmlns:c15="http://schemas.microsoft.com/office/drawing/2012/chart" uri="{CE6537A1-D6FC-4f65-9D91-7224C49458BB}"/>
                <c:ext xmlns:c16="http://schemas.microsoft.com/office/drawing/2014/chart" uri="{C3380CC4-5D6E-409C-BE32-E72D297353CC}">
                  <c16:uniqueId val="{0000000A-A48A-49C1-9586-1011F0D8EE8C}"/>
                </c:ext>
              </c:extLst>
            </c:dLbl>
            <c:dLbl>
              <c:idx val="10"/>
              <c:delete val="1"/>
              <c:extLst>
                <c:ext xmlns:c15="http://schemas.microsoft.com/office/drawing/2012/chart" uri="{CE6537A1-D6FC-4f65-9D91-7224C49458BB}"/>
                <c:ext xmlns:c16="http://schemas.microsoft.com/office/drawing/2014/chart" uri="{C3380CC4-5D6E-409C-BE32-E72D297353CC}">
                  <c16:uniqueId val="{0000000B-A48A-49C1-9586-1011F0D8EE8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55A11"/>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Helper!$B$3:$B$14</c:f>
              <c:numCache>
                <c:formatCode>[$-409]mmm\-yy;@</c:formatCode>
                <c:ptCount val="12"/>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numCache>
            </c:numRef>
          </c:cat>
          <c:val>
            <c:numRef>
              <c:f>Helper!$C$3:$C$14</c:f>
              <c:numCache>
                <c:formatCode>0.0%</c:formatCode>
                <c:ptCount val="12"/>
                <c:pt idx="0">
                  <c:v>0.84810126582278478</c:v>
                </c:pt>
                <c:pt idx="1">
                  <c:v>0.79569892473118276</c:v>
                </c:pt>
                <c:pt idx="2">
                  <c:v>0.80263157894736847</c:v>
                </c:pt>
                <c:pt idx="3">
                  <c:v>0.76923076923076927</c:v>
                </c:pt>
                <c:pt idx="4">
                  <c:v>0.8783783783783784</c:v>
                </c:pt>
                <c:pt idx="5">
                  <c:v>0.84946236559139787</c:v>
                </c:pt>
                <c:pt idx="6">
                  <c:v>0.81395348837209303</c:v>
                </c:pt>
                <c:pt idx="7">
                  <c:v>0.81395348837209303</c:v>
                </c:pt>
                <c:pt idx="8">
                  <c:v>0.79569892473118276</c:v>
                </c:pt>
                <c:pt idx="9">
                  <c:v>0.8571428571428571</c:v>
                </c:pt>
                <c:pt idx="10">
                  <c:v>0.85882352941176465</c:v>
                </c:pt>
                <c:pt idx="11">
                  <c:v>0.92307692307692313</c:v>
                </c:pt>
              </c:numCache>
            </c:numRef>
          </c:val>
          <c:smooth val="0"/>
          <c:extLst>
            <c:ext xmlns:c16="http://schemas.microsoft.com/office/drawing/2014/chart" uri="{C3380CC4-5D6E-409C-BE32-E72D297353CC}">
              <c16:uniqueId val="{00000000-A48A-49C1-9586-1011F0D8EE8C}"/>
            </c:ext>
          </c:extLst>
        </c:ser>
        <c:ser>
          <c:idx val="1"/>
          <c:order val="1"/>
          <c:tx>
            <c:strRef>
              <c:f>Helper!$D$2</c:f>
              <c:strCache>
                <c:ptCount val="1"/>
                <c:pt idx="0">
                  <c:v>Target</c:v>
                </c:pt>
              </c:strCache>
            </c:strRef>
          </c:tx>
          <c:spPr>
            <a:ln w="15875" cap="rnd">
              <a:solidFill>
                <a:schemeClr val="bg1">
                  <a:lumMod val="75000"/>
                </a:schemeClr>
              </a:solidFill>
              <a:prstDash val="dash"/>
              <a:round/>
            </a:ln>
            <a:effectLst/>
          </c:spPr>
          <c:marker>
            <c:symbol val="none"/>
          </c:marker>
          <c:dLbls>
            <c:dLbl>
              <c:idx val="0"/>
              <c:layout>
                <c:manualLayout>
                  <c:x val="-2.5770997375328071E-2"/>
                  <c:y val="-5.320610965296009E-2"/>
                </c:manualLayout>
              </c:layout>
              <c:tx>
                <c:rich>
                  <a:bodyPr/>
                  <a:lstStyle/>
                  <a:p>
                    <a:r>
                      <a:rPr lang="en-US"/>
                      <a:t>90% Target Line</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48A-49C1-9586-1011F0D8EE8C}"/>
                </c:ext>
              </c:extLst>
            </c:dLbl>
            <c:dLbl>
              <c:idx val="1"/>
              <c:delete val="1"/>
              <c:extLst>
                <c:ext xmlns:c15="http://schemas.microsoft.com/office/drawing/2012/chart" uri="{CE6537A1-D6FC-4f65-9D91-7224C49458BB}"/>
                <c:ext xmlns:c16="http://schemas.microsoft.com/office/drawing/2014/chart" uri="{C3380CC4-5D6E-409C-BE32-E72D297353CC}">
                  <c16:uniqueId val="{00000014-A48A-49C1-9586-1011F0D8EE8C}"/>
                </c:ext>
              </c:extLst>
            </c:dLbl>
            <c:dLbl>
              <c:idx val="2"/>
              <c:delete val="1"/>
              <c:extLst>
                <c:ext xmlns:c15="http://schemas.microsoft.com/office/drawing/2012/chart" uri="{CE6537A1-D6FC-4f65-9D91-7224C49458BB}"/>
                <c:ext xmlns:c16="http://schemas.microsoft.com/office/drawing/2014/chart" uri="{C3380CC4-5D6E-409C-BE32-E72D297353CC}">
                  <c16:uniqueId val="{00000015-A48A-49C1-9586-1011F0D8EE8C}"/>
                </c:ext>
              </c:extLst>
            </c:dLbl>
            <c:dLbl>
              <c:idx val="3"/>
              <c:delete val="1"/>
              <c:extLst>
                <c:ext xmlns:c15="http://schemas.microsoft.com/office/drawing/2012/chart" uri="{CE6537A1-D6FC-4f65-9D91-7224C49458BB}"/>
                <c:ext xmlns:c16="http://schemas.microsoft.com/office/drawing/2014/chart" uri="{C3380CC4-5D6E-409C-BE32-E72D297353CC}">
                  <c16:uniqueId val="{00000016-A48A-49C1-9586-1011F0D8EE8C}"/>
                </c:ext>
              </c:extLst>
            </c:dLbl>
            <c:dLbl>
              <c:idx val="4"/>
              <c:delete val="1"/>
              <c:extLst>
                <c:ext xmlns:c15="http://schemas.microsoft.com/office/drawing/2012/chart" uri="{CE6537A1-D6FC-4f65-9D91-7224C49458BB}"/>
                <c:ext xmlns:c16="http://schemas.microsoft.com/office/drawing/2014/chart" uri="{C3380CC4-5D6E-409C-BE32-E72D297353CC}">
                  <c16:uniqueId val="{00000013-A48A-49C1-9586-1011F0D8EE8C}"/>
                </c:ext>
              </c:extLst>
            </c:dLbl>
            <c:dLbl>
              <c:idx val="5"/>
              <c:delete val="1"/>
              <c:extLst>
                <c:ext xmlns:c15="http://schemas.microsoft.com/office/drawing/2012/chart" uri="{CE6537A1-D6FC-4f65-9D91-7224C49458BB}"/>
                <c:ext xmlns:c16="http://schemas.microsoft.com/office/drawing/2014/chart" uri="{C3380CC4-5D6E-409C-BE32-E72D297353CC}">
                  <c16:uniqueId val="{00000012-A48A-49C1-9586-1011F0D8EE8C}"/>
                </c:ext>
              </c:extLst>
            </c:dLbl>
            <c:dLbl>
              <c:idx val="6"/>
              <c:delete val="1"/>
              <c:extLst>
                <c:ext xmlns:c15="http://schemas.microsoft.com/office/drawing/2012/chart" uri="{CE6537A1-D6FC-4f65-9D91-7224C49458BB}"/>
                <c:ext xmlns:c16="http://schemas.microsoft.com/office/drawing/2014/chart" uri="{C3380CC4-5D6E-409C-BE32-E72D297353CC}">
                  <c16:uniqueId val="{00000010-A48A-49C1-9586-1011F0D8EE8C}"/>
                </c:ext>
              </c:extLst>
            </c:dLbl>
            <c:dLbl>
              <c:idx val="7"/>
              <c:delete val="1"/>
              <c:extLst>
                <c:ext xmlns:c15="http://schemas.microsoft.com/office/drawing/2012/chart" uri="{CE6537A1-D6FC-4f65-9D91-7224C49458BB}"/>
                <c:ext xmlns:c16="http://schemas.microsoft.com/office/drawing/2014/chart" uri="{C3380CC4-5D6E-409C-BE32-E72D297353CC}">
                  <c16:uniqueId val="{00000011-A48A-49C1-9586-1011F0D8EE8C}"/>
                </c:ext>
              </c:extLst>
            </c:dLbl>
            <c:dLbl>
              <c:idx val="8"/>
              <c:delete val="1"/>
              <c:extLst>
                <c:ext xmlns:c15="http://schemas.microsoft.com/office/drawing/2012/chart" uri="{CE6537A1-D6FC-4f65-9D91-7224C49458BB}"/>
                <c:ext xmlns:c16="http://schemas.microsoft.com/office/drawing/2014/chart" uri="{C3380CC4-5D6E-409C-BE32-E72D297353CC}">
                  <c16:uniqueId val="{0000000F-A48A-49C1-9586-1011F0D8EE8C}"/>
                </c:ext>
              </c:extLst>
            </c:dLbl>
            <c:dLbl>
              <c:idx val="9"/>
              <c:delete val="1"/>
              <c:extLst>
                <c:ext xmlns:c15="http://schemas.microsoft.com/office/drawing/2012/chart" uri="{CE6537A1-D6FC-4f65-9D91-7224C49458BB}"/>
                <c:ext xmlns:c16="http://schemas.microsoft.com/office/drawing/2014/chart" uri="{C3380CC4-5D6E-409C-BE32-E72D297353CC}">
                  <c16:uniqueId val="{0000000E-A48A-49C1-9586-1011F0D8EE8C}"/>
                </c:ext>
              </c:extLst>
            </c:dLbl>
            <c:dLbl>
              <c:idx val="10"/>
              <c:delete val="1"/>
              <c:extLst>
                <c:ext xmlns:c15="http://schemas.microsoft.com/office/drawing/2012/chart" uri="{CE6537A1-D6FC-4f65-9D91-7224C49458BB}"/>
                <c:ext xmlns:c16="http://schemas.microsoft.com/office/drawing/2014/chart" uri="{C3380CC4-5D6E-409C-BE32-E72D297353CC}">
                  <c16:uniqueId val="{0000000D-A48A-49C1-9586-1011F0D8EE8C}"/>
                </c:ext>
              </c:extLst>
            </c:dLbl>
            <c:dLbl>
              <c:idx val="11"/>
              <c:delete val="1"/>
              <c:extLst>
                <c:ext xmlns:c15="http://schemas.microsoft.com/office/drawing/2012/chart" uri="{CE6537A1-D6FC-4f65-9D91-7224C49458BB}"/>
                <c:ext xmlns:c16="http://schemas.microsoft.com/office/drawing/2014/chart" uri="{C3380CC4-5D6E-409C-BE32-E72D297353CC}">
                  <c16:uniqueId val="{0000000C-A48A-49C1-9586-1011F0D8EE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Helper!$B$3:$B$14</c:f>
              <c:numCache>
                <c:formatCode>[$-409]mmm\-yy;@</c:formatCode>
                <c:ptCount val="12"/>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numCache>
            </c:numRef>
          </c:cat>
          <c:val>
            <c:numRef>
              <c:f>Helper!$D$3:$D$14</c:f>
              <c:numCache>
                <c:formatCode>0%</c:formatCode>
                <c:ptCount val="12"/>
                <c:pt idx="0">
                  <c:v>0.9</c:v>
                </c:pt>
                <c:pt idx="1">
                  <c:v>0.9</c:v>
                </c:pt>
                <c:pt idx="2">
                  <c:v>0.9</c:v>
                </c:pt>
                <c:pt idx="3">
                  <c:v>0.9</c:v>
                </c:pt>
                <c:pt idx="4">
                  <c:v>0.9</c:v>
                </c:pt>
                <c:pt idx="5">
                  <c:v>0.9</c:v>
                </c:pt>
                <c:pt idx="6">
                  <c:v>0.9</c:v>
                </c:pt>
                <c:pt idx="7">
                  <c:v>0.9</c:v>
                </c:pt>
                <c:pt idx="8">
                  <c:v>0.9</c:v>
                </c:pt>
                <c:pt idx="9">
                  <c:v>0.9</c:v>
                </c:pt>
                <c:pt idx="10">
                  <c:v>0.9</c:v>
                </c:pt>
                <c:pt idx="11">
                  <c:v>0.9</c:v>
                </c:pt>
              </c:numCache>
            </c:numRef>
          </c:val>
          <c:smooth val="0"/>
          <c:extLst>
            <c:ext xmlns:c16="http://schemas.microsoft.com/office/drawing/2014/chart" uri="{C3380CC4-5D6E-409C-BE32-E72D297353CC}">
              <c16:uniqueId val="{00000001-A48A-49C1-9586-1011F0D8EE8C}"/>
            </c:ext>
          </c:extLst>
        </c:ser>
        <c:dLbls>
          <c:dLblPos val="t"/>
          <c:showLegendKey val="0"/>
          <c:showVal val="1"/>
          <c:showCatName val="0"/>
          <c:showSerName val="0"/>
          <c:showPercent val="0"/>
          <c:showBubbleSize val="0"/>
        </c:dLbls>
        <c:marker val="1"/>
        <c:smooth val="0"/>
        <c:axId val="274884384"/>
        <c:axId val="2109023503"/>
      </c:lineChart>
      <c:dateAx>
        <c:axId val="274884384"/>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023503"/>
        <c:crosses val="autoZero"/>
        <c:auto val="1"/>
        <c:lblOffset val="100"/>
        <c:baseTimeUnit val="months"/>
      </c:dateAx>
      <c:valAx>
        <c:axId val="2109023503"/>
        <c:scaling>
          <c:orientation val="minMax"/>
          <c:min val="0.7500000000000001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84384"/>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3A3A3A"/>
                </a:solidFill>
                <a:latin typeface="Segoe UI" panose="020B0502040204020203" pitchFamily="34" charset="0"/>
                <a:cs typeface="Segoe UI" panose="020B0502040204020203" pitchFamily="34" charset="0"/>
              </a:rPr>
              <a:t>Shipment Volume &amp; SLA by Carrier</a:t>
            </a:r>
            <a:endParaRPr lang="en-US" b="1">
              <a:solidFill>
                <a:srgbClr val="3A3A3A"/>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Helper!$C$19</c:f>
              <c:strCache>
                <c:ptCount val="1"/>
                <c:pt idx="0">
                  <c:v>Total Shipments</c:v>
                </c:pt>
              </c:strCache>
            </c:strRef>
          </c:tx>
          <c:spPr>
            <a:solidFill>
              <a:srgbClr val="E6E6E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66666"/>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Helper!$B$20:$B$24</c:f>
              <c:strCache>
                <c:ptCount val="5"/>
                <c:pt idx="0">
                  <c:v>Swift Express</c:v>
                </c:pt>
                <c:pt idx="1">
                  <c:v>Velocity Transport</c:v>
                </c:pt>
                <c:pt idx="2">
                  <c:v>FreightPulse</c:v>
                </c:pt>
                <c:pt idx="3">
                  <c:v>Apex Freight</c:v>
                </c:pt>
                <c:pt idx="4">
                  <c:v>RailLink Logistics</c:v>
                </c:pt>
              </c:strCache>
            </c:strRef>
          </c:cat>
          <c:val>
            <c:numRef>
              <c:f>Helper!$C$20:$C$24</c:f>
              <c:numCache>
                <c:formatCode>General</c:formatCode>
                <c:ptCount val="5"/>
                <c:pt idx="0">
                  <c:v>198</c:v>
                </c:pt>
                <c:pt idx="1">
                  <c:v>207</c:v>
                </c:pt>
                <c:pt idx="2">
                  <c:v>210</c:v>
                </c:pt>
                <c:pt idx="3">
                  <c:v>193</c:v>
                </c:pt>
                <c:pt idx="4">
                  <c:v>192</c:v>
                </c:pt>
              </c:numCache>
            </c:numRef>
          </c:val>
          <c:extLst>
            <c:ext xmlns:c16="http://schemas.microsoft.com/office/drawing/2014/chart" uri="{C3380CC4-5D6E-409C-BE32-E72D297353CC}">
              <c16:uniqueId val="{00000000-DE8B-4056-B07D-F9590ADFFD3A}"/>
            </c:ext>
          </c:extLst>
        </c:ser>
        <c:dLbls>
          <c:showLegendKey val="0"/>
          <c:showVal val="0"/>
          <c:showCatName val="0"/>
          <c:showSerName val="0"/>
          <c:showPercent val="0"/>
          <c:showBubbleSize val="0"/>
        </c:dLbls>
        <c:gapWidth val="50"/>
        <c:overlap val="-27"/>
        <c:axId val="2011319279"/>
        <c:axId val="2109140143"/>
      </c:barChart>
      <c:lineChart>
        <c:grouping val="standard"/>
        <c:varyColors val="0"/>
        <c:ser>
          <c:idx val="1"/>
          <c:order val="1"/>
          <c:tx>
            <c:strRef>
              <c:f>Helper!$D$19</c:f>
              <c:strCache>
                <c:ptCount val="1"/>
                <c:pt idx="0">
                  <c:v>SLA Compliance Rate</c:v>
                </c:pt>
              </c:strCache>
            </c:strRef>
          </c:tx>
          <c:spPr>
            <a:ln w="34925" cap="rnd">
              <a:solidFill>
                <a:srgbClr val="BA7517"/>
              </a:solidFill>
              <a:round/>
            </a:ln>
            <a:effectLst/>
          </c:spPr>
          <c:marker>
            <c:symbol val="circle"/>
            <c:size val="6"/>
            <c:spPr>
              <a:solidFill>
                <a:srgbClr val="BA7517"/>
              </a:solidFill>
              <a:ln w="9525">
                <a:noFill/>
              </a:ln>
              <a:effectLst/>
            </c:spPr>
          </c:marker>
          <c:dLbls>
            <c:dLbl>
              <c:idx val="4"/>
              <c:layout>
                <c:manualLayout>
                  <c:x val="-6.2180664916885439E-2"/>
                  <c:y val="-8.32637066200058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17-4C9C-8D9C-58E650B6933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BA7517"/>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Helper!$B$20:$B$24</c:f>
              <c:strCache>
                <c:ptCount val="5"/>
                <c:pt idx="0">
                  <c:v>Swift Express</c:v>
                </c:pt>
                <c:pt idx="1">
                  <c:v>Velocity Transport</c:v>
                </c:pt>
                <c:pt idx="2">
                  <c:v>FreightPulse</c:v>
                </c:pt>
                <c:pt idx="3">
                  <c:v>Apex Freight</c:v>
                </c:pt>
                <c:pt idx="4">
                  <c:v>RailLink Logistics</c:v>
                </c:pt>
              </c:strCache>
            </c:strRef>
          </c:cat>
          <c:val>
            <c:numRef>
              <c:f>Helper!$D$20:$D$24</c:f>
              <c:numCache>
                <c:formatCode>0.0%</c:formatCode>
                <c:ptCount val="5"/>
                <c:pt idx="0">
                  <c:v>0.85353535353535348</c:v>
                </c:pt>
                <c:pt idx="1">
                  <c:v>0.84057971014492749</c:v>
                </c:pt>
                <c:pt idx="2">
                  <c:v>0.83809523809523812</c:v>
                </c:pt>
                <c:pt idx="3">
                  <c:v>0.83419689119170981</c:v>
                </c:pt>
                <c:pt idx="4">
                  <c:v>0.80729166666666663</c:v>
                </c:pt>
              </c:numCache>
            </c:numRef>
          </c:val>
          <c:smooth val="0"/>
          <c:extLst>
            <c:ext xmlns:c16="http://schemas.microsoft.com/office/drawing/2014/chart" uri="{C3380CC4-5D6E-409C-BE32-E72D297353CC}">
              <c16:uniqueId val="{00000001-DE8B-4056-B07D-F9590ADFFD3A}"/>
            </c:ext>
          </c:extLst>
        </c:ser>
        <c:dLbls>
          <c:showLegendKey val="0"/>
          <c:showVal val="0"/>
          <c:showCatName val="0"/>
          <c:showSerName val="0"/>
          <c:showPercent val="0"/>
          <c:showBubbleSize val="0"/>
        </c:dLbls>
        <c:marker val="1"/>
        <c:smooth val="0"/>
        <c:axId val="2011318815"/>
        <c:axId val="2109138223"/>
      </c:lineChart>
      <c:catAx>
        <c:axId val="201131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140143"/>
        <c:crosses val="autoZero"/>
        <c:auto val="1"/>
        <c:lblAlgn val="ctr"/>
        <c:lblOffset val="100"/>
        <c:noMultiLvlLbl val="0"/>
      </c:catAx>
      <c:valAx>
        <c:axId val="2109140143"/>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319279"/>
        <c:crosses val="autoZero"/>
        <c:crossBetween val="between"/>
      </c:valAx>
      <c:valAx>
        <c:axId val="2109138223"/>
        <c:scaling>
          <c:orientation val="minMax"/>
          <c:max val="0.9"/>
          <c:min val="0.8"/>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318815"/>
        <c:crosses val="max"/>
        <c:crossBetween val="between"/>
        <c:majorUnit val="2.0000000000000004E-2"/>
      </c:valAx>
      <c:catAx>
        <c:axId val="2011318815"/>
        <c:scaling>
          <c:orientation val="minMax"/>
        </c:scaling>
        <c:delete val="1"/>
        <c:axPos val="b"/>
        <c:numFmt formatCode="General" sourceLinked="1"/>
        <c:majorTickMark val="none"/>
        <c:minorTickMark val="none"/>
        <c:tickLblPos val="nextTo"/>
        <c:crossAx val="2109138223"/>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595959"/>
                </a:solidFill>
                <a:latin typeface="Segoe UI" panose="020B0502040204020203" pitchFamily="34" charset="0"/>
                <a:cs typeface="Segoe UI" panose="020B0502040204020203" pitchFamily="34" charset="0"/>
              </a:rPr>
              <a:t>Regional SLA Compliance &amp; Shipment Volume</a:t>
            </a:r>
            <a:endParaRPr lang="en-US" b="1">
              <a:solidFill>
                <a:srgbClr val="595959"/>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Helper!$C$49</c:f>
              <c:strCache>
                <c:ptCount val="1"/>
                <c:pt idx="0">
                  <c:v>SLA Compliance Rate</c:v>
                </c:pt>
              </c:strCache>
            </c:strRef>
          </c:tx>
          <c:spPr>
            <a:solidFill>
              <a:srgbClr val="D98C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Helper!$B$50:$B$53</c:f>
              <c:strCache>
                <c:ptCount val="4"/>
                <c:pt idx="0">
                  <c:v>US-Central</c:v>
                </c:pt>
                <c:pt idx="1">
                  <c:v>US-East</c:v>
                </c:pt>
                <c:pt idx="2">
                  <c:v>US-South</c:v>
                </c:pt>
                <c:pt idx="3">
                  <c:v>US-West</c:v>
                </c:pt>
              </c:strCache>
            </c:strRef>
          </c:cat>
          <c:val>
            <c:numRef>
              <c:f>Helper!$C$50:$C$53</c:f>
              <c:numCache>
                <c:formatCode>0.0%</c:formatCode>
                <c:ptCount val="4"/>
                <c:pt idx="0">
                  <c:v>0.80790960451977401</c:v>
                </c:pt>
                <c:pt idx="1">
                  <c:v>0.85964912280701755</c:v>
                </c:pt>
                <c:pt idx="2">
                  <c:v>0.82727272727272727</c:v>
                </c:pt>
                <c:pt idx="3">
                  <c:v>0.84472049689440998</c:v>
                </c:pt>
              </c:numCache>
            </c:numRef>
          </c:val>
          <c:extLst>
            <c:ext xmlns:c16="http://schemas.microsoft.com/office/drawing/2014/chart" uri="{C3380CC4-5D6E-409C-BE32-E72D297353CC}">
              <c16:uniqueId val="{00000000-243E-4DB6-AA34-921DA25567B1}"/>
            </c:ext>
          </c:extLst>
        </c:ser>
        <c:dLbls>
          <c:showLegendKey val="0"/>
          <c:showVal val="0"/>
          <c:showCatName val="0"/>
          <c:showSerName val="0"/>
          <c:showPercent val="0"/>
          <c:showBubbleSize val="0"/>
        </c:dLbls>
        <c:gapWidth val="55"/>
        <c:axId val="1834599903"/>
        <c:axId val="1840731567"/>
      </c:barChart>
      <c:lineChart>
        <c:grouping val="standard"/>
        <c:varyColors val="0"/>
        <c:ser>
          <c:idx val="1"/>
          <c:order val="1"/>
          <c:tx>
            <c:strRef>
              <c:f>Helper!$D$49</c:f>
              <c:strCache>
                <c:ptCount val="1"/>
                <c:pt idx="0">
                  <c:v>Total Shipments</c:v>
                </c:pt>
              </c:strCache>
            </c:strRef>
          </c:tx>
          <c:spPr>
            <a:ln w="34925" cap="rnd">
              <a:solidFill>
                <a:srgbClr val="4F5D73">
                  <a:alpha val="90000"/>
                </a:srgbClr>
              </a:solidFill>
              <a:round/>
            </a:ln>
            <a:effectLst/>
          </c:spPr>
          <c:marker>
            <c:symbol val="circle"/>
            <c:size val="6"/>
            <c:spPr>
              <a:solidFill>
                <a:srgbClr val="4E5D6C"/>
              </a:solidFill>
              <a:ln w="9525">
                <a:noFill/>
              </a:ln>
              <a:effectLst/>
            </c:spPr>
          </c:marker>
          <c:dLbls>
            <c:dLbl>
              <c:idx val="0"/>
              <c:tx>
                <c:rich>
                  <a:bodyPr/>
                  <a:lstStyle/>
                  <a:p>
                    <a:fld id="{7A706961-5880-42F5-BD5E-7CAC5169FC76}" type="VALUE">
                      <a:rPr lang="en-US">
                        <a:solidFill>
                          <a:schemeClr val="bg2">
                            <a:lumMod val="25000"/>
                          </a:schemeClr>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243E-4DB6-AA34-921DA25567B1}"/>
                </c:ext>
              </c:extLst>
            </c:dLbl>
            <c:dLbl>
              <c:idx val="1"/>
              <c:layout>
                <c:manualLayout>
                  <c:x val="-5.2748024630959289E-2"/>
                  <c:y val="-5.4558162634990581E-2"/>
                </c:manualLayout>
              </c:layout>
              <c:tx>
                <c:rich>
                  <a:bodyPr/>
                  <a:lstStyle/>
                  <a:p>
                    <a:fld id="{2ED73393-F0E6-4A84-80C2-CCB126BC1B13}" type="VALUE">
                      <a:rPr lang="en-US">
                        <a:solidFill>
                          <a:schemeClr val="bg2">
                            <a:lumMod val="25000"/>
                          </a:schemeClr>
                        </a:solidFill>
                      </a:rPr>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43E-4DB6-AA34-921DA25567B1}"/>
                </c:ext>
              </c:extLst>
            </c:dLbl>
            <c:dLbl>
              <c:idx val="2"/>
              <c:layout>
                <c:manualLayout>
                  <c:x val="-4.0351332029500614E-2"/>
                  <c:y val="-4.2420604921859298E-2"/>
                </c:manualLayout>
              </c:layout>
              <c:tx>
                <c:rich>
                  <a:bodyPr/>
                  <a:lstStyle/>
                  <a:p>
                    <a:fld id="{A3730C18-52E2-40CA-AFAD-0B1C1AB18872}" type="VALUE">
                      <a:rPr lang="en-US">
                        <a:solidFill>
                          <a:schemeClr val="bg2">
                            <a:lumMod val="25000"/>
                          </a:schemeClr>
                        </a:solidFill>
                      </a:rPr>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43E-4DB6-AA34-921DA25567B1}"/>
                </c:ext>
              </c:extLst>
            </c:dLbl>
            <c:dLbl>
              <c:idx val="3"/>
              <c:tx>
                <c:rich>
                  <a:bodyPr/>
                  <a:lstStyle/>
                  <a:p>
                    <a:fld id="{23FD3983-EF26-4503-AC72-81F9C191A18C}" type="VALUE">
                      <a:rPr lang="en-US">
                        <a:solidFill>
                          <a:schemeClr val="bg2">
                            <a:lumMod val="25000"/>
                          </a:schemeClr>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43E-4DB6-AA34-921DA25567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Helper!$B$50:$B$53</c:f>
              <c:strCache>
                <c:ptCount val="4"/>
                <c:pt idx="0">
                  <c:v>US-Central</c:v>
                </c:pt>
                <c:pt idx="1">
                  <c:v>US-East</c:v>
                </c:pt>
                <c:pt idx="2">
                  <c:v>US-South</c:v>
                </c:pt>
                <c:pt idx="3">
                  <c:v>US-West</c:v>
                </c:pt>
              </c:strCache>
            </c:strRef>
          </c:cat>
          <c:val>
            <c:numRef>
              <c:f>Helper!$D$50:$D$53</c:f>
              <c:numCache>
                <c:formatCode>0</c:formatCode>
                <c:ptCount val="4"/>
                <c:pt idx="0">
                  <c:v>177</c:v>
                </c:pt>
                <c:pt idx="1">
                  <c:v>171</c:v>
                </c:pt>
                <c:pt idx="2">
                  <c:v>330</c:v>
                </c:pt>
                <c:pt idx="3">
                  <c:v>322</c:v>
                </c:pt>
              </c:numCache>
            </c:numRef>
          </c:val>
          <c:smooth val="0"/>
          <c:extLst>
            <c:ext xmlns:c16="http://schemas.microsoft.com/office/drawing/2014/chart" uri="{C3380CC4-5D6E-409C-BE32-E72D297353CC}">
              <c16:uniqueId val="{00000001-243E-4DB6-AA34-921DA25567B1}"/>
            </c:ext>
          </c:extLst>
        </c:ser>
        <c:dLbls>
          <c:showLegendKey val="0"/>
          <c:showVal val="0"/>
          <c:showCatName val="0"/>
          <c:showSerName val="0"/>
          <c:showPercent val="0"/>
          <c:showBubbleSize val="0"/>
        </c:dLbls>
        <c:marker val="1"/>
        <c:smooth val="0"/>
        <c:axId val="1823774223"/>
        <c:axId val="1948000559"/>
      </c:lineChart>
      <c:catAx>
        <c:axId val="183459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40731567"/>
        <c:crosses val="autoZero"/>
        <c:auto val="1"/>
        <c:lblAlgn val="ctr"/>
        <c:lblOffset val="100"/>
        <c:noMultiLvlLbl val="0"/>
      </c:catAx>
      <c:valAx>
        <c:axId val="184073156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b="0" i="0" u="none" strike="noStrike" baseline="0">
                    <a:latin typeface="Segoe UI" panose="020B0502040204020203" pitchFamily="34" charset="0"/>
                    <a:cs typeface="Segoe UI" panose="020B0502040204020203" pitchFamily="34" charset="0"/>
                  </a:rPr>
                  <a:t>SLA Compliance Rate (%)</a:t>
                </a:r>
                <a:endParaRPr lang="en-US" sz="900">
                  <a:latin typeface="Segoe UI" panose="020B0502040204020203" pitchFamily="34" charset="0"/>
                  <a:cs typeface="Segoe UI" panose="020B050204020402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34599903"/>
        <c:crosses val="autoZero"/>
        <c:crossBetween val="between"/>
        <c:majorUnit val="0.2"/>
      </c:valAx>
      <c:valAx>
        <c:axId val="1948000559"/>
        <c:scaling>
          <c:orientation val="minMax"/>
          <c:min val="10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a:latin typeface="Segoe UI" panose="020B0502040204020203" pitchFamily="34" charset="0"/>
                    <a:cs typeface="Segoe UI" panose="020B0502040204020203" pitchFamily="34" charset="0"/>
                  </a:rPr>
                  <a:t>Total Shipments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23774223"/>
        <c:crosses val="max"/>
        <c:crossBetween val="between"/>
        <c:majorUnit val="50"/>
      </c:valAx>
      <c:catAx>
        <c:axId val="1823774223"/>
        <c:scaling>
          <c:orientation val="minMax"/>
        </c:scaling>
        <c:delete val="1"/>
        <c:axPos val="b"/>
        <c:numFmt formatCode="General" sourceLinked="1"/>
        <c:majorTickMark val="out"/>
        <c:minorTickMark val="none"/>
        <c:tickLblPos val="nextTo"/>
        <c:crossAx val="1948000559"/>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400" b="1" i="0" u="none" strike="noStrike" baseline="0"/>
              <a:t>Shipment Outcome Distribution by Warehouse</a:t>
            </a:r>
            <a:endParaRPr lang="en-US"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bar"/>
        <c:grouping val="percentStacked"/>
        <c:varyColors val="0"/>
        <c:ser>
          <c:idx val="1"/>
          <c:order val="0"/>
          <c:spPr>
            <a:solidFill>
              <a:srgbClr val="7AA35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20000"/>
                        <a:lumOff val="80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Helper!$B$69:$B$74</c:f>
              <c:strCache>
                <c:ptCount val="6"/>
                <c:pt idx="0">
                  <c:v>Newark Distribution Center</c:v>
                </c:pt>
                <c:pt idx="1">
                  <c:v>Dallas Consolidation Center</c:v>
                </c:pt>
                <c:pt idx="2">
                  <c:v>Reno Cross-Dock Facility</c:v>
                </c:pt>
                <c:pt idx="3">
                  <c:v>Columbus Regional Depot</c:v>
                </c:pt>
                <c:pt idx="4">
                  <c:v>Atlanta Fulfillment Hub</c:v>
                </c:pt>
                <c:pt idx="5">
                  <c:v>Tacoma Coastal Warehouse</c:v>
                </c:pt>
              </c:strCache>
            </c:strRef>
          </c:cat>
          <c:val>
            <c:numRef>
              <c:f>Helper!$D$69:$D$74</c:f>
              <c:numCache>
                <c:formatCode>0.0%</c:formatCode>
                <c:ptCount val="6"/>
                <c:pt idx="0">
                  <c:v>0.85964912280701755</c:v>
                </c:pt>
                <c:pt idx="1">
                  <c:v>0.84146341463414631</c:v>
                </c:pt>
                <c:pt idx="2">
                  <c:v>0.85906040268456374</c:v>
                </c:pt>
                <c:pt idx="3">
                  <c:v>0.80790960451977401</c:v>
                </c:pt>
                <c:pt idx="4">
                  <c:v>0.81325301204819278</c:v>
                </c:pt>
                <c:pt idx="5">
                  <c:v>0.83236994219653182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01AE-49F0-AFE8-8857DF266549}"/>
            </c:ext>
          </c:extLst>
        </c:ser>
        <c:ser>
          <c:idx val="0"/>
          <c:order val="1"/>
          <c:spPr>
            <a:solidFill>
              <a:srgbClr val="E6B84A"/>
            </a:solidFill>
            <a:ln>
              <a:noFill/>
            </a:ln>
            <a:effectLst/>
          </c:spPr>
          <c:invertIfNegative val="0"/>
          <c:cat>
            <c:strRef>
              <c:f>Helper!$B$69:$B$74</c:f>
              <c:strCache>
                <c:ptCount val="6"/>
                <c:pt idx="0">
                  <c:v>Newark Distribution Center</c:v>
                </c:pt>
                <c:pt idx="1">
                  <c:v>Dallas Consolidation Center</c:v>
                </c:pt>
                <c:pt idx="2">
                  <c:v>Reno Cross-Dock Facility</c:v>
                </c:pt>
                <c:pt idx="3">
                  <c:v>Columbus Regional Depot</c:v>
                </c:pt>
                <c:pt idx="4">
                  <c:v>Atlanta Fulfillment Hub</c:v>
                </c:pt>
                <c:pt idx="5">
                  <c:v>Tacoma Coastal Warehouse</c:v>
                </c:pt>
              </c:strCache>
            </c:strRef>
          </c:cat>
          <c:val>
            <c:numRef>
              <c:f>Helper!$C$69:$C$74</c:f>
              <c:numCache>
                <c:formatCode>0.0%</c:formatCode>
                <c:ptCount val="6"/>
                <c:pt idx="0">
                  <c:v>6.4327485380116955E-2</c:v>
                </c:pt>
                <c:pt idx="1">
                  <c:v>7.926829268292683E-2</c:v>
                </c:pt>
                <c:pt idx="2">
                  <c:v>6.0402684563758392E-2</c:v>
                </c:pt>
                <c:pt idx="3">
                  <c:v>9.6045197740112997E-2</c:v>
                </c:pt>
                <c:pt idx="4">
                  <c:v>9.036144578313253E-2</c:v>
                </c:pt>
                <c:pt idx="5">
                  <c:v>5.2023121387283239E-2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01AE-49F0-AFE8-8857DF266549}"/>
            </c:ext>
          </c:extLst>
        </c:ser>
        <c:ser>
          <c:idx val="2"/>
          <c:order val="2"/>
          <c:spPr>
            <a:solidFill>
              <a:srgbClr val="C85A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Helper!$B$69:$B$74</c:f>
              <c:strCache>
                <c:ptCount val="6"/>
                <c:pt idx="0">
                  <c:v>Newark Distribution Center</c:v>
                </c:pt>
                <c:pt idx="1">
                  <c:v>Dallas Consolidation Center</c:v>
                </c:pt>
                <c:pt idx="2">
                  <c:v>Reno Cross-Dock Facility</c:v>
                </c:pt>
                <c:pt idx="3">
                  <c:v>Columbus Regional Depot</c:v>
                </c:pt>
                <c:pt idx="4">
                  <c:v>Atlanta Fulfillment Hub</c:v>
                </c:pt>
                <c:pt idx="5">
                  <c:v>Tacoma Coastal Warehouse</c:v>
                </c:pt>
              </c:strCache>
            </c:strRef>
          </c:cat>
          <c:val>
            <c:numRef>
              <c:f>Helper!$E$69:$E$74</c:f>
              <c:numCache>
                <c:formatCode>0.00%</c:formatCode>
                <c:ptCount val="6"/>
                <c:pt idx="0">
                  <c:v>7.6023391812865493E-2</c:v>
                </c:pt>
                <c:pt idx="1">
                  <c:v>7.926829268292683E-2</c:v>
                </c:pt>
                <c:pt idx="2">
                  <c:v>8.0536912751677847E-2</c:v>
                </c:pt>
                <c:pt idx="3">
                  <c:v>9.6045197740112997E-2</c:v>
                </c:pt>
                <c:pt idx="4">
                  <c:v>9.6385542168674704E-2</c:v>
                </c:pt>
                <c:pt idx="5">
                  <c:v>0.11560693641618497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01AE-49F0-AFE8-8857DF266549}"/>
            </c:ext>
          </c:extLst>
        </c:ser>
        <c:dLbls>
          <c:showLegendKey val="0"/>
          <c:showVal val="0"/>
          <c:showCatName val="0"/>
          <c:showSerName val="0"/>
          <c:showPercent val="0"/>
          <c:showBubbleSize val="0"/>
        </c:dLbls>
        <c:gapWidth val="45"/>
        <c:overlap val="100"/>
        <c:axId val="2037090223"/>
        <c:axId val="1931741839"/>
      </c:barChart>
      <c:catAx>
        <c:axId val="203709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931741839"/>
        <c:crosses val="autoZero"/>
        <c:auto val="1"/>
        <c:lblAlgn val="ctr"/>
        <c:lblOffset val="100"/>
        <c:noMultiLvlLbl val="0"/>
      </c:catAx>
      <c:valAx>
        <c:axId val="193174183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037090223"/>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baseline="0">
                <a:latin typeface="Segoe UI" panose="020B0502040204020203" pitchFamily="34" charset="0"/>
                <a:cs typeface="Segoe UI" panose="020B0502040204020203" pitchFamily="34" charset="0"/>
              </a:rPr>
              <a:t>Shipment Schedule Variance</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800" i="1">
                <a:solidFill>
                  <a:schemeClr val="bg1">
                    <a:lumMod val="50000"/>
                  </a:schemeClr>
                </a:solidFill>
                <a:latin typeface="Segoe UI" panose="020B0502040204020203" pitchFamily="34" charset="0"/>
                <a:cs typeface="Segoe UI" panose="020B0502040204020203" pitchFamily="34" charset="0"/>
              </a:rPr>
              <a:t>Distribution by days from promised ship date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Helper!$C$87</c:f>
              <c:strCache>
                <c:ptCount val="1"/>
                <c:pt idx="0">
                  <c:v>Total Shipments</c:v>
                </c:pt>
              </c:strCache>
            </c:strRef>
          </c:tx>
          <c:spPr>
            <a:solidFill>
              <a:srgbClr val="6F9E52"/>
            </a:solidFill>
            <a:ln>
              <a:noFill/>
            </a:ln>
            <a:effectLst/>
          </c:spPr>
          <c:invertIfNegative val="0"/>
          <c:dPt>
            <c:idx val="0"/>
            <c:invertIfNegative val="0"/>
            <c:bubble3D val="0"/>
            <c:spPr>
              <a:solidFill>
                <a:srgbClr val="88B36B"/>
              </a:solidFill>
              <a:ln>
                <a:noFill/>
              </a:ln>
              <a:effectLst/>
            </c:spPr>
            <c:extLst>
              <c:ext xmlns:c16="http://schemas.microsoft.com/office/drawing/2014/chart" uri="{C3380CC4-5D6E-409C-BE32-E72D297353CC}">
                <c16:uniqueId val="{00000006-A324-437E-B7AC-A8B65CC4C6C2}"/>
              </c:ext>
            </c:extLst>
          </c:dPt>
          <c:dPt>
            <c:idx val="1"/>
            <c:invertIfNegative val="0"/>
            <c:bubble3D val="0"/>
            <c:spPr>
              <a:solidFill>
                <a:srgbClr val="5D8C46"/>
              </a:solidFill>
              <a:ln>
                <a:noFill/>
              </a:ln>
              <a:effectLst/>
            </c:spPr>
            <c:extLst>
              <c:ext xmlns:c16="http://schemas.microsoft.com/office/drawing/2014/chart" uri="{C3380CC4-5D6E-409C-BE32-E72D297353CC}">
                <c16:uniqueId val="{00000001-A324-437E-B7AC-A8B65CC4C6C2}"/>
              </c:ext>
            </c:extLst>
          </c:dPt>
          <c:dPt>
            <c:idx val="2"/>
            <c:invertIfNegative val="0"/>
            <c:bubble3D val="0"/>
            <c:spPr>
              <a:solidFill>
                <a:srgbClr val="E5B547"/>
              </a:solidFill>
              <a:ln>
                <a:noFill/>
              </a:ln>
              <a:effectLst/>
            </c:spPr>
            <c:extLst>
              <c:ext xmlns:c16="http://schemas.microsoft.com/office/drawing/2014/chart" uri="{C3380CC4-5D6E-409C-BE32-E72D297353CC}">
                <c16:uniqueId val="{00000002-A324-437E-B7AC-A8B65CC4C6C2}"/>
              </c:ext>
            </c:extLst>
          </c:dPt>
          <c:dPt>
            <c:idx val="3"/>
            <c:invertIfNegative val="0"/>
            <c:bubble3D val="0"/>
            <c:spPr>
              <a:solidFill>
                <a:srgbClr val="C65B57"/>
              </a:solidFill>
              <a:ln>
                <a:noFill/>
              </a:ln>
              <a:effectLst/>
            </c:spPr>
            <c:extLst>
              <c:ext xmlns:c16="http://schemas.microsoft.com/office/drawing/2014/chart" uri="{C3380CC4-5D6E-409C-BE32-E72D297353CC}">
                <c16:uniqueId val="{00000003-A324-437E-B7AC-A8B65CC4C6C2}"/>
              </c:ext>
            </c:extLst>
          </c:dPt>
          <c:dPt>
            <c:idx val="4"/>
            <c:invertIfNegative val="0"/>
            <c:bubble3D val="0"/>
            <c:spPr>
              <a:solidFill>
                <a:srgbClr val="B5433D"/>
              </a:solidFill>
              <a:ln>
                <a:noFill/>
              </a:ln>
              <a:effectLst/>
            </c:spPr>
            <c:extLst>
              <c:ext xmlns:c16="http://schemas.microsoft.com/office/drawing/2014/chart" uri="{C3380CC4-5D6E-409C-BE32-E72D297353CC}">
                <c16:uniqueId val="{00000004-A324-437E-B7AC-A8B65CC4C6C2}"/>
              </c:ext>
            </c:extLst>
          </c:dPt>
          <c:dPt>
            <c:idx val="5"/>
            <c:invertIfNegative val="0"/>
            <c:bubble3D val="0"/>
            <c:spPr>
              <a:solidFill>
                <a:srgbClr val="953833"/>
              </a:solidFill>
              <a:ln>
                <a:noFill/>
              </a:ln>
              <a:effectLst/>
            </c:spPr>
            <c:extLst>
              <c:ext xmlns:c16="http://schemas.microsoft.com/office/drawing/2014/chart" uri="{C3380CC4-5D6E-409C-BE32-E72D297353CC}">
                <c16:uniqueId val="{00000005-A324-437E-B7AC-A8B65CC4C6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Helper!$B$88:$B$93</c:f>
              <c:strCache>
                <c:ptCount val="6"/>
                <c:pt idx="0">
                  <c:v>1 Day Early</c:v>
                </c:pt>
                <c:pt idx="1">
                  <c:v>On Time</c:v>
                </c:pt>
                <c:pt idx="2">
                  <c:v>1 Day Late</c:v>
                </c:pt>
                <c:pt idx="3">
                  <c:v>2 Days Late</c:v>
                </c:pt>
                <c:pt idx="4">
                  <c:v>3 Days Late</c:v>
                </c:pt>
                <c:pt idx="5">
                  <c:v>4+ Days Late</c:v>
                </c:pt>
              </c:strCache>
            </c:strRef>
          </c:cat>
          <c:val>
            <c:numRef>
              <c:f>Helper!$C$88:$C$93</c:f>
              <c:numCache>
                <c:formatCode>0.0%</c:formatCode>
                <c:ptCount val="6"/>
                <c:pt idx="0">
                  <c:v>0.26800000000000002</c:v>
                </c:pt>
                <c:pt idx="1">
                  <c:v>0.56699999999999995</c:v>
                </c:pt>
                <c:pt idx="2">
                  <c:v>9.0999999999999998E-2</c:v>
                </c:pt>
                <c:pt idx="3">
                  <c:v>4.1000000000000002E-2</c:v>
                </c:pt>
                <c:pt idx="4">
                  <c:v>1.7000000000000001E-2</c:v>
                </c:pt>
                <c:pt idx="5">
                  <c:v>1.6E-2</c:v>
                </c:pt>
              </c:numCache>
            </c:numRef>
          </c:val>
          <c:extLst>
            <c:ext xmlns:c16="http://schemas.microsoft.com/office/drawing/2014/chart" uri="{C3380CC4-5D6E-409C-BE32-E72D297353CC}">
              <c16:uniqueId val="{00000000-A324-437E-B7AC-A8B65CC4C6C2}"/>
            </c:ext>
          </c:extLst>
        </c:ser>
        <c:dLbls>
          <c:showLegendKey val="0"/>
          <c:showVal val="0"/>
          <c:showCatName val="0"/>
          <c:showSerName val="0"/>
          <c:showPercent val="0"/>
          <c:showBubbleSize val="0"/>
        </c:dLbls>
        <c:gapWidth val="40"/>
        <c:overlap val="-27"/>
        <c:axId val="759650735"/>
        <c:axId val="1947867119"/>
      </c:barChart>
      <c:catAx>
        <c:axId val="75965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947867119"/>
        <c:crosses val="autoZero"/>
        <c:auto val="1"/>
        <c:lblAlgn val="ctr"/>
        <c:lblOffset val="100"/>
        <c:noMultiLvlLbl val="0"/>
      </c:catAx>
      <c:valAx>
        <c:axId val="1947867119"/>
        <c:scaling>
          <c:orientation val="minMax"/>
        </c:scaling>
        <c:delete val="1"/>
        <c:axPos val="l"/>
        <c:numFmt formatCode="0.0%" sourceLinked="1"/>
        <c:majorTickMark val="none"/>
        <c:minorTickMark val="none"/>
        <c:tickLblPos val="nextTo"/>
        <c:crossAx val="7596507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Segoe UI" panose="020B0502040204020203" pitchFamily="34" charset="0"/>
                <a:cs typeface="Segoe UI" panose="020B0502040204020203" pitchFamily="34" charset="0"/>
              </a:rPr>
              <a:t>Buffer Day Trade-off Analysis</a:t>
            </a:r>
          </a:p>
          <a:p>
            <a:pPr>
              <a:defRPr/>
            </a:pPr>
            <a:r>
              <a:rPr lang="en-US" sz="800" b="0" i="1" u="none" strike="noStrike" baseline="0">
                <a:solidFill>
                  <a:schemeClr val="bg1">
                    <a:lumMod val="50000"/>
                  </a:schemeClr>
                </a:solidFill>
                <a:latin typeface="Segoe UI" panose="020B0502040204020203" pitchFamily="34" charset="0"/>
                <a:cs typeface="Segoe UI" panose="020B0502040204020203" pitchFamily="34" charset="0"/>
              </a:rPr>
              <a:t>Modeled impact of additional promise-window buffer days</a:t>
            </a:r>
            <a:endParaRPr lang="en-US" sz="800" b="1" i="1">
              <a:solidFill>
                <a:schemeClr val="bg1">
                  <a:lumMod val="50000"/>
                </a:schemeClr>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spPr>
            <a:solidFill>
              <a:srgbClr val="8FA3BF"/>
            </a:solidFill>
            <a:ln>
              <a:noFill/>
            </a:ln>
            <a:effectLst/>
          </c:spPr>
          <c:invertIfNegative val="0"/>
          <c:dPt>
            <c:idx val="1"/>
            <c:invertIfNegative val="0"/>
            <c:bubble3D val="0"/>
            <c:spPr>
              <a:solidFill>
                <a:srgbClr val="5B7FA6"/>
              </a:solidFill>
              <a:ln>
                <a:noFill/>
              </a:ln>
              <a:effectLst/>
            </c:spPr>
            <c:extLst>
              <c:ext xmlns:c16="http://schemas.microsoft.com/office/drawing/2014/chart" uri="{C3380CC4-5D6E-409C-BE32-E72D297353CC}">
                <c16:uniqueId val="{0000000D-75FF-402E-8533-3D75B5F03D45}"/>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5">
                        <a:lumMod val="50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Helper!$C$103:$C$107</c:f>
              <c:numCache>
                <c:formatCode>"$"#,##0</c:formatCode>
                <c:ptCount val="5"/>
                <c:pt idx="0">
                  <c:v>21600</c:v>
                </c:pt>
                <c:pt idx="1">
                  <c:v>9225</c:v>
                </c:pt>
                <c:pt idx="2">
                  <c:v>3675</c:v>
                </c:pt>
                <c:pt idx="3">
                  <c:v>1200</c:v>
                </c:pt>
                <c:pt idx="4">
                  <c:v>0</c:v>
                </c:pt>
              </c:numCache>
            </c:numRef>
          </c:val>
          <c:extLst>
            <c:ext xmlns:c16="http://schemas.microsoft.com/office/drawing/2014/chart" uri="{C3380CC4-5D6E-409C-BE32-E72D297353CC}">
              <c16:uniqueId val="{00000001-75FF-402E-8533-3D75B5F03D45}"/>
            </c:ext>
          </c:extLst>
        </c:ser>
        <c:dLbls>
          <c:dLblPos val="inEnd"/>
          <c:showLegendKey val="0"/>
          <c:showVal val="1"/>
          <c:showCatName val="0"/>
          <c:showSerName val="0"/>
          <c:showPercent val="0"/>
          <c:showBubbleSize val="0"/>
        </c:dLbls>
        <c:gapWidth val="55"/>
        <c:overlap val="-27"/>
        <c:axId val="759548655"/>
        <c:axId val="1947848399"/>
        <c:extLst>
          <c:ext xmlns:c15="http://schemas.microsoft.com/office/drawing/2012/chart" uri="{02D57815-91ED-43cb-92C2-25804820EDAC}">
            <c15:filteredBarSeries>
              <c15: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Helper!$B$103:$B$107</c15:sqref>
                        </c15:formulaRef>
                      </c:ext>
                    </c:extLst>
                    <c:numCache>
                      <c:formatCode>0</c:formatCode>
                      <c:ptCount val="5"/>
                      <c:pt idx="0">
                        <c:v>0</c:v>
                      </c:pt>
                      <c:pt idx="1">
                        <c:v>1</c:v>
                      </c:pt>
                      <c:pt idx="2">
                        <c:v>2</c:v>
                      </c:pt>
                      <c:pt idx="3">
                        <c:v>3</c:v>
                      </c:pt>
                      <c:pt idx="4">
                        <c:v>4</c:v>
                      </c:pt>
                    </c:numCache>
                  </c:numRef>
                </c:val>
                <c:extLst>
                  <c:ext xmlns:c16="http://schemas.microsoft.com/office/drawing/2014/chart" uri="{C3380CC4-5D6E-409C-BE32-E72D297353CC}">
                    <c16:uniqueId val="{00000000-75FF-402E-8533-3D75B5F03D45}"/>
                  </c:ext>
                </c:extLst>
              </c15:ser>
            </c15:filteredBarSeries>
          </c:ext>
        </c:extLst>
      </c:barChart>
      <c:lineChart>
        <c:grouping val="standard"/>
        <c:varyColors val="0"/>
        <c:ser>
          <c:idx val="2"/>
          <c:order val="2"/>
          <c:spPr>
            <a:ln w="31750" cap="rnd">
              <a:solidFill>
                <a:srgbClr val="BA7517"/>
              </a:solidFill>
              <a:round/>
            </a:ln>
            <a:effectLst/>
          </c:spPr>
          <c:marker>
            <c:symbol val="square"/>
            <c:size val="6"/>
            <c:spPr>
              <a:solidFill>
                <a:srgbClr val="BA7517"/>
              </a:solidFill>
              <a:ln w="9525">
                <a:noFill/>
              </a:ln>
              <a:effectLst/>
            </c:spPr>
          </c:marker>
          <c:dLbls>
            <c:dLbl>
              <c:idx val="0"/>
              <c:layout>
                <c:manualLayout>
                  <c:x val="-5.8229668360627783E-2"/>
                  <c:y val="-6.4743201667408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5FF-402E-8533-3D75B5F03D45}"/>
                </c:ext>
              </c:extLst>
            </c:dLbl>
            <c:dLbl>
              <c:idx val="2"/>
              <c:delete val="1"/>
              <c:extLst>
                <c:ext xmlns:c15="http://schemas.microsoft.com/office/drawing/2012/chart" uri="{CE6537A1-D6FC-4f65-9D91-7224C49458BB}"/>
                <c:ext xmlns:c16="http://schemas.microsoft.com/office/drawing/2014/chart" uri="{C3380CC4-5D6E-409C-BE32-E72D297353CC}">
                  <c16:uniqueId val="{0000000C-75FF-402E-8533-3D75B5F03D45}"/>
                </c:ext>
              </c:extLst>
            </c:dLbl>
            <c:dLbl>
              <c:idx val="3"/>
              <c:delete val="1"/>
              <c:extLst>
                <c:ext xmlns:c15="http://schemas.microsoft.com/office/drawing/2012/chart" uri="{CE6537A1-D6FC-4f65-9D91-7224C49458BB}"/>
                <c:ext xmlns:c16="http://schemas.microsoft.com/office/drawing/2014/chart" uri="{C3380CC4-5D6E-409C-BE32-E72D297353CC}">
                  <c16:uniqueId val="{0000000B-75FF-402E-8533-3D75B5F03D45}"/>
                </c:ext>
              </c:extLst>
            </c:dLbl>
            <c:dLbl>
              <c:idx val="4"/>
              <c:delete val="1"/>
              <c:extLst>
                <c:ext xmlns:c15="http://schemas.microsoft.com/office/drawing/2012/chart" uri="{CE6537A1-D6FC-4f65-9D91-7224C49458BB}"/>
                <c:ext xmlns:c16="http://schemas.microsoft.com/office/drawing/2014/chart" uri="{C3380CC4-5D6E-409C-BE32-E72D297353CC}">
                  <c16:uniqueId val="{00000009-75FF-402E-8533-3D75B5F03D4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Helper!$D$103:$D$107</c:f>
              <c:numCache>
                <c:formatCode>0.0%</c:formatCode>
                <c:ptCount val="5"/>
                <c:pt idx="0">
                  <c:v>0.83499999999999996</c:v>
                </c:pt>
                <c:pt idx="1">
                  <c:v>0.92600000000000005</c:v>
                </c:pt>
                <c:pt idx="2">
                  <c:v>0.96699999999999997</c:v>
                </c:pt>
                <c:pt idx="3">
                  <c:v>0.98399999999999999</c:v>
                </c:pt>
                <c:pt idx="4">
                  <c:v>1</c:v>
                </c:pt>
              </c:numCache>
            </c:numRef>
          </c:val>
          <c:smooth val="0"/>
          <c:extLst>
            <c:ext xmlns:c16="http://schemas.microsoft.com/office/drawing/2014/chart" uri="{C3380CC4-5D6E-409C-BE32-E72D297353CC}">
              <c16:uniqueId val="{00000002-75FF-402E-8533-3D75B5F03D45}"/>
            </c:ext>
          </c:extLst>
        </c:ser>
        <c:ser>
          <c:idx val="3"/>
          <c:order val="3"/>
          <c:spPr>
            <a:ln w="22225" cap="rnd">
              <a:solidFill>
                <a:srgbClr val="BDBDBD"/>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4-75FF-402E-8533-3D75B5F03D45}"/>
                </c:ext>
              </c:extLst>
            </c:dLbl>
            <c:dLbl>
              <c:idx val="1"/>
              <c:delete val="1"/>
              <c:extLst>
                <c:ext xmlns:c15="http://schemas.microsoft.com/office/drawing/2012/chart" uri="{CE6537A1-D6FC-4f65-9D91-7224C49458BB}"/>
                <c:ext xmlns:c16="http://schemas.microsoft.com/office/drawing/2014/chart" uri="{C3380CC4-5D6E-409C-BE32-E72D297353CC}">
                  <c16:uniqueId val="{00000005-75FF-402E-8533-3D75B5F03D45}"/>
                </c:ext>
              </c:extLst>
            </c:dLbl>
            <c:dLbl>
              <c:idx val="2"/>
              <c:delete val="1"/>
              <c:extLst>
                <c:ext xmlns:c15="http://schemas.microsoft.com/office/drawing/2012/chart" uri="{CE6537A1-D6FC-4f65-9D91-7224C49458BB}"/>
                <c:ext xmlns:c16="http://schemas.microsoft.com/office/drawing/2014/chart" uri="{C3380CC4-5D6E-409C-BE32-E72D297353CC}">
                  <c16:uniqueId val="{00000006-75FF-402E-8533-3D75B5F03D45}"/>
                </c:ext>
              </c:extLst>
            </c:dLbl>
            <c:dLbl>
              <c:idx val="3"/>
              <c:delete val="1"/>
              <c:extLst>
                <c:ext xmlns:c15="http://schemas.microsoft.com/office/drawing/2012/chart" uri="{CE6537A1-D6FC-4f65-9D91-7224C49458BB}"/>
                <c:ext xmlns:c16="http://schemas.microsoft.com/office/drawing/2014/chart" uri="{C3380CC4-5D6E-409C-BE32-E72D297353CC}">
                  <c16:uniqueId val="{00000007-75FF-402E-8533-3D75B5F03D45}"/>
                </c:ext>
              </c:extLst>
            </c:dLbl>
            <c:dLbl>
              <c:idx val="4"/>
              <c:layout>
                <c:manualLayout>
                  <c:x val="-0.11916948526034853"/>
                  <c:y val="-3.0658183565048479E-2"/>
                </c:manualLayout>
              </c:layout>
              <c:tx>
                <c:rich>
                  <a:bodyPr/>
                  <a:lstStyle/>
                  <a:p>
                    <a:r>
                      <a:rPr lang="en-US" sz="800">
                        <a:solidFill>
                          <a:schemeClr val="bg1">
                            <a:lumMod val="65000"/>
                          </a:schemeClr>
                        </a:solidFill>
                        <a:latin typeface="Segoe UI" panose="020B0502040204020203" pitchFamily="34" charset="0"/>
                        <a:cs typeface="Segoe UI" panose="020B0502040204020203" pitchFamily="34" charset="0"/>
                      </a:rPr>
                      <a:t>90% Target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5FF-402E-8533-3D75B5F03D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Helper!$E$103:$E$107</c:f>
              <c:numCache>
                <c:formatCode>0%</c:formatCode>
                <c:ptCount val="5"/>
                <c:pt idx="0">
                  <c:v>0.9</c:v>
                </c:pt>
                <c:pt idx="1">
                  <c:v>0.9</c:v>
                </c:pt>
                <c:pt idx="2">
                  <c:v>0.9</c:v>
                </c:pt>
                <c:pt idx="3">
                  <c:v>0.9</c:v>
                </c:pt>
                <c:pt idx="4">
                  <c:v>0.9</c:v>
                </c:pt>
              </c:numCache>
            </c:numRef>
          </c:val>
          <c:smooth val="0"/>
          <c:extLst>
            <c:ext xmlns:c16="http://schemas.microsoft.com/office/drawing/2014/chart" uri="{C3380CC4-5D6E-409C-BE32-E72D297353CC}">
              <c16:uniqueId val="{00000003-75FF-402E-8533-3D75B5F03D45}"/>
            </c:ext>
          </c:extLst>
        </c:ser>
        <c:dLbls>
          <c:showLegendKey val="0"/>
          <c:showVal val="1"/>
          <c:showCatName val="0"/>
          <c:showSerName val="0"/>
          <c:showPercent val="0"/>
          <c:showBubbleSize val="0"/>
        </c:dLbls>
        <c:marker val="1"/>
        <c:smooth val="0"/>
        <c:axId val="759640527"/>
        <c:axId val="1947869039"/>
      </c:lineChart>
      <c:catAx>
        <c:axId val="759548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solidFill>
                      <a:srgbClr val="595959"/>
                    </a:solidFill>
                    <a:latin typeface="Segoe UI" panose="020B0502040204020203" pitchFamily="34" charset="0"/>
                    <a:cs typeface="Segoe UI" panose="020B0502040204020203" pitchFamily="34" charset="0"/>
                  </a:rPr>
                  <a:t>Additional Buffer Days</a:t>
                </a:r>
                <a:endParaRPr lang="en-US">
                  <a:solidFill>
                    <a:srgbClr val="595959"/>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947848399"/>
        <c:crosses val="autoZero"/>
        <c:auto val="1"/>
        <c:lblAlgn val="ctr"/>
        <c:lblOffset val="100"/>
        <c:noMultiLvlLbl val="0"/>
      </c:catAx>
      <c:valAx>
        <c:axId val="1947848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solidFill>
                      <a:srgbClr val="595959"/>
                    </a:solidFill>
                    <a:latin typeface="Segoe UI" panose="020B0502040204020203" pitchFamily="34" charset="0"/>
                    <a:cs typeface="Segoe UI" panose="020B0502040204020203" pitchFamily="34" charset="0"/>
                  </a:rPr>
                  <a:t>Penalty Exposure ($)</a:t>
                </a:r>
                <a:endParaRPr lang="en-US" sz="1000">
                  <a:solidFill>
                    <a:srgbClr val="595959"/>
                  </a:solidFill>
                  <a:latin typeface="Segoe UI" panose="020B0502040204020203" pitchFamily="34" charset="0"/>
                  <a:cs typeface="Segoe UI" panose="020B050204020402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759548655"/>
        <c:crosses val="autoZero"/>
        <c:crossBetween val="between"/>
      </c:valAx>
      <c:valAx>
        <c:axId val="1947869039"/>
        <c:scaling>
          <c:orientation val="minMax"/>
          <c:max val="1"/>
          <c:min val="0.8"/>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759640527"/>
        <c:crosses val="max"/>
        <c:crossBetween val="between"/>
        <c:majorUnit val="5.000000000000001E-2"/>
      </c:valAx>
      <c:catAx>
        <c:axId val="759640527"/>
        <c:scaling>
          <c:orientation val="minMax"/>
        </c:scaling>
        <c:delete val="1"/>
        <c:axPos val="b"/>
        <c:majorTickMark val="out"/>
        <c:minorTickMark val="none"/>
        <c:tickLblPos val="nextTo"/>
        <c:crossAx val="1947869039"/>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7409</xdr:colOff>
      <xdr:row>19</xdr:row>
      <xdr:rowOff>7408</xdr:rowOff>
    </xdr:from>
    <xdr:to>
      <xdr:col>9</xdr:col>
      <xdr:colOff>472229</xdr:colOff>
      <xdr:row>37</xdr:row>
      <xdr:rowOff>28575</xdr:rowOff>
    </xdr:to>
    <xdr:sp macro="" textlink="">
      <xdr:nvSpPr>
        <xdr:cNvPr id="26" name="Rectangle: Rounded Corners 25">
          <a:extLst>
            <a:ext uri="{FF2B5EF4-FFF2-40B4-BE49-F238E27FC236}">
              <a16:creationId xmlns:a16="http://schemas.microsoft.com/office/drawing/2014/main" id="{3FFB588C-77D6-F2D9-24A2-AFA82741B708}"/>
            </a:ext>
          </a:extLst>
        </xdr:cNvPr>
        <xdr:cNvSpPr/>
      </xdr:nvSpPr>
      <xdr:spPr>
        <a:xfrm>
          <a:off x="197909" y="4528608"/>
          <a:ext cx="11247120" cy="4135967"/>
        </a:xfrm>
        <a:prstGeom prst="roundRect">
          <a:avLst/>
        </a:prstGeom>
        <a:solidFill>
          <a:schemeClr val="bg1"/>
        </a:solidFill>
        <a:ln>
          <a:noFill/>
        </a:ln>
        <a:effectLst>
          <a:outerShdw blurRad="1270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Segoe UI" panose="020B0502040204020203" pitchFamily="34" charset="0"/>
            <a:cs typeface="Segoe UI" panose="020B0502040204020203" pitchFamily="34" charset="0"/>
          </a:endParaRPr>
        </a:p>
      </xdr:txBody>
    </xdr:sp>
    <xdr:clientData/>
  </xdr:twoCellAnchor>
  <xdr:twoCellAnchor editAs="oneCell">
    <xdr:from>
      <xdr:col>1</xdr:col>
      <xdr:colOff>2552</xdr:colOff>
      <xdr:row>11</xdr:row>
      <xdr:rowOff>197094</xdr:rowOff>
    </xdr:from>
    <xdr:to>
      <xdr:col>3</xdr:col>
      <xdr:colOff>1866900</xdr:colOff>
      <xdr:row>15</xdr:row>
      <xdr:rowOff>181353</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79DB22A9-E113-49D7-B535-EA972A24B48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3052" y="2711694"/>
              <a:ext cx="4099548" cy="898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11</xdr:row>
      <xdr:rowOff>197690</xdr:rowOff>
    </xdr:from>
    <xdr:to>
      <xdr:col>6</xdr:col>
      <xdr:colOff>203200</xdr:colOff>
      <xdr:row>15</xdr:row>
      <xdr:rowOff>181949</xdr:rowOff>
    </xdr:to>
    <mc:AlternateContent xmlns:mc="http://schemas.openxmlformats.org/markup-compatibility/2006">
      <mc:Choice xmlns:a14="http://schemas.microsoft.com/office/drawing/2010/main" Requires="a14">
        <xdr:graphicFrame macro="">
          <xdr:nvGraphicFramePr>
            <xdr:cNvPr id="12" name="Carrier_Name 1">
              <a:extLst>
                <a:ext uri="{FF2B5EF4-FFF2-40B4-BE49-F238E27FC236}">
                  <a16:creationId xmlns:a16="http://schemas.microsoft.com/office/drawing/2014/main" id="{1929482D-FB68-4960-AFE3-6F29D14B8142}"/>
                </a:ext>
              </a:extLst>
            </xdr:cNvPr>
            <xdr:cNvGraphicFramePr/>
          </xdr:nvGraphicFramePr>
          <xdr:xfrm>
            <a:off x="0" y="0"/>
            <a:ext cx="0" cy="0"/>
          </xdr:xfrm>
          <a:graphic>
            <a:graphicData uri="http://schemas.microsoft.com/office/drawing/2010/slicer">
              <sle:slicer xmlns:sle="http://schemas.microsoft.com/office/drawing/2010/slicer" name="Carrier_Name 1"/>
            </a:graphicData>
          </a:graphic>
        </xdr:graphicFrame>
      </mc:Choice>
      <mc:Fallback>
        <xdr:sp macro="" textlink="">
          <xdr:nvSpPr>
            <xdr:cNvPr id="0" name=""/>
            <xdr:cNvSpPr>
              <a:spLocks noTextEdit="1"/>
            </xdr:cNvSpPr>
          </xdr:nvSpPr>
          <xdr:spPr>
            <a:xfrm>
              <a:off x="4559300" y="2712290"/>
              <a:ext cx="4597400" cy="898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172523</xdr:colOff>
      <xdr:row>6</xdr:row>
      <xdr:rowOff>132724</xdr:rowOff>
    </xdr:from>
    <xdr:to>
      <xdr:col>5</xdr:col>
      <xdr:colOff>107324</xdr:colOff>
      <xdr:row>9</xdr:row>
      <xdr:rowOff>170645</xdr:rowOff>
    </xdr:to>
    <xdr:sp macro="" textlink="Detail!B3">
      <xdr:nvSpPr>
        <xdr:cNvPr id="14" name="Rectangle: Rounded Corners 13">
          <a:extLst>
            <a:ext uri="{FF2B5EF4-FFF2-40B4-BE49-F238E27FC236}">
              <a16:creationId xmlns:a16="http://schemas.microsoft.com/office/drawing/2014/main" id="{AC02BB7B-59B1-BBEE-434A-38DC3DF71D7B}"/>
            </a:ext>
          </a:extLst>
        </xdr:cNvPr>
        <xdr:cNvSpPr/>
      </xdr:nvSpPr>
      <xdr:spPr>
        <a:xfrm>
          <a:off x="172523" y="1504324"/>
          <a:ext cx="7707201" cy="723721"/>
        </a:xfrm>
        <a:prstGeom prst="roundRect">
          <a:avLst>
            <a:gd name="adj" fmla="val 22848"/>
          </a:avLst>
        </a:prstGeom>
        <a:solidFill>
          <a:srgbClr val="FFFFFF"/>
        </a:solidFill>
        <a:ln w="12700">
          <a:solidFill>
            <a:srgbClr val="D9D9D9"/>
          </a:solidFill>
        </a:ln>
        <a:effectLst>
          <a:outerShdw blurRad="50800" dist="25400" dir="2700000" algn="tl" rotWithShape="0">
            <a:prstClr val="black">
              <a:alpha val="2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15935340-A406-4E47-8888-AF3F45184B68}" type="TxLink">
            <a:rPr lang="en-US" sz="3000" b="1" i="0" u="none" strike="noStrike">
              <a:solidFill>
                <a:schemeClr val="accent2">
                  <a:lumMod val="75000"/>
                </a:schemeClr>
              </a:solidFill>
              <a:latin typeface="Segoe UI" panose="020B0502040204020203" pitchFamily="34" charset="0"/>
              <a:ea typeface="Calibri"/>
              <a:cs typeface="Segoe UI" panose="020B0502040204020203" pitchFamily="34" charset="0"/>
            </a:rPr>
            <a:pPr algn="ctr"/>
            <a:t>83.5%</a:t>
          </a:fld>
          <a:endParaRPr lang="en-US" sz="3000" b="1">
            <a:solidFill>
              <a:schemeClr val="accent2">
                <a:lumMod val="75000"/>
              </a:schemeClr>
            </a:solidFill>
            <a:latin typeface="Segoe UI" panose="020B0502040204020203" pitchFamily="34" charset="0"/>
            <a:cs typeface="Segoe UI" panose="020B0502040204020203" pitchFamily="34" charset="0"/>
          </a:endParaRPr>
        </a:p>
      </xdr:txBody>
    </xdr:sp>
    <xdr:clientData/>
  </xdr:twoCellAnchor>
  <xdr:twoCellAnchor>
    <xdr:from>
      <xdr:col>5</xdr:col>
      <xdr:colOff>709075</xdr:colOff>
      <xdr:row>6</xdr:row>
      <xdr:rowOff>132724</xdr:rowOff>
    </xdr:from>
    <xdr:to>
      <xdr:col>7</xdr:col>
      <xdr:colOff>184709</xdr:colOff>
      <xdr:row>9</xdr:row>
      <xdr:rowOff>170645</xdr:rowOff>
    </xdr:to>
    <xdr:sp macro="" textlink="Detail!B4">
      <xdr:nvSpPr>
        <xdr:cNvPr id="15" name="Rectangle: Rounded Corners 14">
          <a:extLst>
            <a:ext uri="{FF2B5EF4-FFF2-40B4-BE49-F238E27FC236}">
              <a16:creationId xmlns:a16="http://schemas.microsoft.com/office/drawing/2014/main" id="{98F1FB1B-4093-2707-3AD8-5AF6BA2D6A97}"/>
            </a:ext>
          </a:extLst>
        </xdr:cNvPr>
        <xdr:cNvSpPr/>
      </xdr:nvSpPr>
      <xdr:spPr>
        <a:xfrm>
          <a:off x="8481475" y="1504324"/>
          <a:ext cx="1609234" cy="723721"/>
        </a:xfrm>
        <a:prstGeom prst="roundRect">
          <a:avLst>
            <a:gd name="adj" fmla="val 22848"/>
          </a:avLst>
        </a:prstGeom>
        <a:solidFill>
          <a:srgbClr val="FFFFFF"/>
        </a:solidFill>
        <a:ln w="12700">
          <a:solidFill>
            <a:srgbClr val="D9D9D9"/>
          </a:solidFill>
        </a:ln>
        <a:effectLst>
          <a:outerShdw blurRad="50800" dist="25400" dir="2700000" algn="tl" rotWithShape="0">
            <a:prstClr val="black">
              <a:alpha val="2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52B66103-2DA5-45AC-B725-663C60BC4CF6}" type="TxLink">
            <a:rPr lang="en-US" sz="3000" b="1" i="0" u="none" strike="noStrike">
              <a:solidFill>
                <a:srgbClr val="C00000"/>
              </a:solidFill>
              <a:latin typeface="Segoe UI" panose="020B0502040204020203" pitchFamily="34" charset="0"/>
              <a:ea typeface="Calibri"/>
              <a:cs typeface="Segoe UI" panose="020B0502040204020203" pitchFamily="34" charset="0"/>
            </a:rPr>
            <a:pPr algn="ctr"/>
            <a:t>-6.50%</a:t>
          </a:fld>
          <a:endParaRPr lang="en-US" sz="3000" b="1">
            <a:solidFill>
              <a:srgbClr val="C00000"/>
            </a:solidFill>
            <a:latin typeface="Segoe UI" panose="020B0502040204020203" pitchFamily="34" charset="0"/>
            <a:cs typeface="Segoe UI" panose="020B0502040204020203" pitchFamily="34" charset="0"/>
          </a:endParaRPr>
        </a:p>
      </xdr:txBody>
    </xdr:sp>
    <xdr:clientData/>
  </xdr:twoCellAnchor>
  <xdr:twoCellAnchor>
    <xdr:from>
      <xdr:col>8</xdr:col>
      <xdr:colOff>253060</xdr:colOff>
      <xdr:row>6</xdr:row>
      <xdr:rowOff>132724</xdr:rowOff>
    </xdr:from>
    <xdr:to>
      <xdr:col>12</xdr:col>
      <xdr:colOff>375678</xdr:colOff>
      <xdr:row>9</xdr:row>
      <xdr:rowOff>170645</xdr:rowOff>
    </xdr:to>
    <xdr:sp macro="" textlink="Detail!B5">
      <xdr:nvSpPr>
        <xdr:cNvPr id="16" name="Rectangle: Rounded Corners 15">
          <a:extLst>
            <a:ext uri="{FF2B5EF4-FFF2-40B4-BE49-F238E27FC236}">
              <a16:creationId xmlns:a16="http://schemas.microsoft.com/office/drawing/2014/main" id="{467820C9-73A1-2AED-2E2E-1CED8AF31BF4}"/>
            </a:ext>
          </a:extLst>
        </xdr:cNvPr>
        <xdr:cNvSpPr/>
      </xdr:nvSpPr>
      <xdr:spPr>
        <a:xfrm>
          <a:off x="10692460" y="1504324"/>
          <a:ext cx="2256218" cy="723721"/>
        </a:xfrm>
        <a:prstGeom prst="roundRect">
          <a:avLst>
            <a:gd name="adj" fmla="val 22848"/>
          </a:avLst>
        </a:prstGeom>
        <a:solidFill>
          <a:srgbClr val="FFFFFF"/>
        </a:solidFill>
        <a:ln w="12700">
          <a:solidFill>
            <a:srgbClr val="D9D9D9"/>
          </a:solidFill>
        </a:ln>
        <a:effectLst>
          <a:outerShdw blurRad="50800" dist="25400" dir="2700000" algn="tl" rotWithShape="0">
            <a:prstClr val="black">
              <a:alpha val="2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FB93A9C1-594C-433E-BC22-74576C3C6457}" type="TxLink">
            <a:rPr lang="en-US" sz="3000" b="1" i="0" u="none" strike="noStrike">
              <a:solidFill>
                <a:srgbClr val="4B4B4B"/>
              </a:solidFill>
              <a:latin typeface="Segoe UI" panose="020B0502040204020203" pitchFamily="34" charset="0"/>
              <a:ea typeface="Calibri"/>
              <a:cs typeface="Segoe UI" panose="020B0502040204020203" pitchFamily="34" charset="0"/>
            </a:rPr>
            <a:pPr algn="ctr"/>
            <a:t>165</a:t>
          </a:fld>
          <a:endParaRPr lang="en-US" sz="3000" b="1">
            <a:solidFill>
              <a:srgbClr val="4B4B4B"/>
            </a:solidFill>
            <a:latin typeface="Segoe UI" panose="020B0502040204020203" pitchFamily="34" charset="0"/>
            <a:cs typeface="Segoe UI" panose="020B0502040204020203" pitchFamily="34" charset="0"/>
          </a:endParaRPr>
        </a:p>
      </xdr:txBody>
    </xdr:sp>
    <xdr:clientData/>
  </xdr:twoCellAnchor>
  <xdr:twoCellAnchor>
    <xdr:from>
      <xdr:col>13</xdr:col>
      <xdr:colOff>444029</xdr:colOff>
      <xdr:row>6</xdr:row>
      <xdr:rowOff>132724</xdr:rowOff>
    </xdr:from>
    <xdr:to>
      <xdr:col>18</xdr:col>
      <xdr:colOff>33247</xdr:colOff>
      <xdr:row>9</xdr:row>
      <xdr:rowOff>170645</xdr:rowOff>
    </xdr:to>
    <xdr:sp macro="" textlink="Detail!B6">
      <xdr:nvSpPr>
        <xdr:cNvPr id="17" name="Rectangle: Rounded Corners 16">
          <a:extLst>
            <a:ext uri="{FF2B5EF4-FFF2-40B4-BE49-F238E27FC236}">
              <a16:creationId xmlns:a16="http://schemas.microsoft.com/office/drawing/2014/main" id="{C102AA2F-0DA5-D837-C42F-257CE5D78171}"/>
            </a:ext>
          </a:extLst>
        </xdr:cNvPr>
        <xdr:cNvSpPr/>
      </xdr:nvSpPr>
      <xdr:spPr>
        <a:xfrm>
          <a:off x="13550429" y="1504324"/>
          <a:ext cx="2256218" cy="723721"/>
        </a:xfrm>
        <a:prstGeom prst="roundRect">
          <a:avLst>
            <a:gd name="adj" fmla="val 22848"/>
          </a:avLst>
        </a:prstGeom>
        <a:solidFill>
          <a:srgbClr val="FFFFFF"/>
        </a:solidFill>
        <a:ln w="12700">
          <a:solidFill>
            <a:srgbClr val="D9D9D9"/>
          </a:solidFill>
        </a:ln>
        <a:effectLst>
          <a:outerShdw blurRad="50800" dist="25400" dir="2700000" algn="tl" rotWithShape="0">
            <a:prstClr val="black">
              <a:alpha val="2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A51BEC68-B0B7-4201-A950-DC3083A8C29D}" type="TxLink">
            <a:rPr lang="en-US" sz="3000" b="1" i="0" u="none" strike="noStrike">
              <a:solidFill>
                <a:srgbClr val="2C2C2C"/>
              </a:solidFill>
              <a:latin typeface="Segoe UI" panose="020B0502040204020203" pitchFamily="34" charset="0"/>
              <a:ea typeface="Calibri"/>
              <a:cs typeface="Segoe UI" panose="020B0502040204020203" pitchFamily="34" charset="0"/>
            </a:rPr>
            <a:pPr algn="ctr"/>
            <a:t>$218,689</a:t>
          </a:fld>
          <a:endParaRPr lang="en-US" sz="3000" b="1">
            <a:solidFill>
              <a:srgbClr val="2C2C2C"/>
            </a:solidFill>
            <a:latin typeface="Segoe UI" panose="020B0502040204020203" pitchFamily="34" charset="0"/>
            <a:cs typeface="Segoe UI" panose="020B0502040204020203" pitchFamily="34" charset="0"/>
          </a:endParaRPr>
        </a:p>
      </xdr:txBody>
    </xdr:sp>
    <xdr:clientData/>
  </xdr:twoCellAnchor>
  <xdr:twoCellAnchor>
    <xdr:from>
      <xdr:col>19</xdr:col>
      <xdr:colOff>101600</xdr:colOff>
      <xdr:row>6</xdr:row>
      <xdr:rowOff>132724</xdr:rowOff>
    </xdr:from>
    <xdr:to>
      <xdr:col>21</xdr:col>
      <xdr:colOff>0</xdr:colOff>
      <xdr:row>9</xdr:row>
      <xdr:rowOff>170645</xdr:rowOff>
    </xdr:to>
    <xdr:sp macro="" textlink="Scenario_Analysis!G5">
      <xdr:nvSpPr>
        <xdr:cNvPr id="19" name="Rectangle: Rounded Corners 18">
          <a:extLst>
            <a:ext uri="{FF2B5EF4-FFF2-40B4-BE49-F238E27FC236}">
              <a16:creationId xmlns:a16="http://schemas.microsoft.com/office/drawing/2014/main" id="{3526A853-AFC6-F65B-4A9D-7352B0566A86}"/>
            </a:ext>
          </a:extLst>
        </xdr:cNvPr>
        <xdr:cNvSpPr/>
      </xdr:nvSpPr>
      <xdr:spPr>
        <a:xfrm>
          <a:off x="16408400" y="1504324"/>
          <a:ext cx="1117600" cy="723721"/>
        </a:xfrm>
        <a:prstGeom prst="roundRect">
          <a:avLst>
            <a:gd name="adj" fmla="val 22848"/>
          </a:avLst>
        </a:prstGeom>
        <a:solidFill>
          <a:srgbClr val="FFFFFF"/>
        </a:solidFill>
        <a:ln w="12700">
          <a:solidFill>
            <a:srgbClr val="D9D9D9"/>
          </a:solidFill>
        </a:ln>
        <a:effectLst>
          <a:outerShdw blurRad="50800" dist="25400" dir="2700000" algn="tl" rotWithShape="0">
            <a:prstClr val="black">
              <a:alpha val="2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8F3B09DF-743A-437C-BAAC-6C5B8811103B}" type="TxLink">
            <a:rPr lang="en-US" sz="3000" b="1" i="0" u="none" strike="noStrike">
              <a:solidFill>
                <a:srgbClr val="2E8B57"/>
              </a:solidFill>
              <a:latin typeface="Segoe UI" panose="020B0502040204020203" pitchFamily="34" charset="0"/>
              <a:ea typeface="Calibri"/>
              <a:cs typeface="Segoe UI" panose="020B0502040204020203" pitchFamily="34" charset="0"/>
            </a:rPr>
            <a:pPr algn="ctr"/>
            <a:t>92.6%</a:t>
          </a:fld>
          <a:endParaRPr lang="en-US" sz="3000" b="1">
            <a:solidFill>
              <a:srgbClr val="2E8B57"/>
            </a:solidFill>
            <a:latin typeface="Segoe UI" panose="020B0502040204020203" pitchFamily="34" charset="0"/>
            <a:cs typeface="Segoe UI" panose="020B0502040204020203" pitchFamily="34" charset="0"/>
          </a:endParaRPr>
        </a:p>
      </xdr:txBody>
    </xdr:sp>
    <xdr:clientData/>
  </xdr:twoCellAnchor>
  <xdr:twoCellAnchor editAs="oneCell">
    <xdr:from>
      <xdr:col>11</xdr:col>
      <xdr:colOff>1</xdr:colOff>
      <xdr:row>11</xdr:row>
      <xdr:rowOff>197690</xdr:rowOff>
    </xdr:from>
    <xdr:to>
      <xdr:col>21</xdr:col>
      <xdr:colOff>1</xdr:colOff>
      <xdr:row>15</xdr:row>
      <xdr:rowOff>180757</xdr:rowOff>
    </xdr:to>
    <mc:AlternateContent xmlns:mc="http://schemas.openxmlformats.org/markup-compatibility/2006">
      <mc:Choice xmlns:a14="http://schemas.microsoft.com/office/drawing/2010/main" Requires="a14">
        <xdr:graphicFrame macro="">
          <xdr:nvGraphicFramePr>
            <xdr:cNvPr id="5" name="Order_Date (Month) 1">
              <a:extLst>
                <a:ext uri="{FF2B5EF4-FFF2-40B4-BE49-F238E27FC236}">
                  <a16:creationId xmlns:a16="http://schemas.microsoft.com/office/drawing/2014/main" id="{34885CF0-2636-43B6-A33D-CC3D7AA6E13F}"/>
                </a:ext>
              </a:extLst>
            </xdr:cNvPr>
            <xdr:cNvGraphicFramePr/>
          </xdr:nvGraphicFramePr>
          <xdr:xfrm>
            <a:off x="0" y="0"/>
            <a:ext cx="0" cy="0"/>
          </xdr:xfrm>
          <a:graphic>
            <a:graphicData uri="http://schemas.microsoft.com/office/drawing/2010/slicer">
              <sle:slicer xmlns:sle="http://schemas.microsoft.com/office/drawing/2010/slicer" name="Order_Date (Month) 1"/>
            </a:graphicData>
          </a:graphic>
        </xdr:graphicFrame>
      </mc:Choice>
      <mc:Fallback>
        <xdr:sp macro="" textlink="">
          <xdr:nvSpPr>
            <xdr:cNvPr id="0" name=""/>
            <xdr:cNvSpPr>
              <a:spLocks noTextEdit="1"/>
            </xdr:cNvSpPr>
          </xdr:nvSpPr>
          <xdr:spPr>
            <a:xfrm>
              <a:off x="12039601" y="2712290"/>
              <a:ext cx="5486400" cy="897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11</xdr:row>
      <xdr:rowOff>198286</xdr:rowOff>
    </xdr:from>
    <xdr:to>
      <xdr:col>11</xdr:col>
      <xdr:colOff>0</xdr:colOff>
      <xdr:row>15</xdr:row>
      <xdr:rowOff>181353</xdr:rowOff>
    </xdr:to>
    <mc:AlternateContent xmlns:mc="http://schemas.openxmlformats.org/markup-compatibility/2006">
      <mc:Choice xmlns:a14="http://schemas.microsoft.com/office/drawing/2010/main" Requires="a14">
        <xdr:graphicFrame macro="">
          <xdr:nvGraphicFramePr>
            <xdr:cNvPr id="8" name="Order_Date (Year) 2">
              <a:extLst>
                <a:ext uri="{FF2B5EF4-FFF2-40B4-BE49-F238E27FC236}">
                  <a16:creationId xmlns:a16="http://schemas.microsoft.com/office/drawing/2014/main" id="{4ECF50E5-7B41-C2B4-88E4-DFE2F7F34DCE}"/>
                </a:ext>
              </a:extLst>
            </xdr:cNvPr>
            <xdr:cNvGraphicFramePr/>
          </xdr:nvGraphicFramePr>
          <xdr:xfrm>
            <a:off x="0" y="0"/>
            <a:ext cx="0" cy="0"/>
          </xdr:xfrm>
          <a:graphic>
            <a:graphicData uri="http://schemas.microsoft.com/office/drawing/2010/slicer">
              <sle:slicer xmlns:sle="http://schemas.microsoft.com/office/drawing/2010/slicer" name="Order_Date (Year) 2"/>
            </a:graphicData>
          </a:graphic>
        </xdr:graphicFrame>
      </mc:Choice>
      <mc:Fallback>
        <xdr:sp macro="" textlink="">
          <xdr:nvSpPr>
            <xdr:cNvPr id="0" name=""/>
            <xdr:cNvSpPr>
              <a:spLocks noTextEdit="1"/>
            </xdr:cNvSpPr>
          </xdr:nvSpPr>
          <xdr:spPr>
            <a:xfrm>
              <a:off x="10439400" y="2712886"/>
              <a:ext cx="1600200" cy="897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182899</xdr:colOff>
      <xdr:row>19</xdr:row>
      <xdr:rowOff>31750</xdr:rowOff>
    </xdr:from>
    <xdr:to>
      <xdr:col>9</xdr:col>
      <xdr:colOff>406400</xdr:colOff>
      <xdr:row>36</xdr:row>
      <xdr:rowOff>88899</xdr:rowOff>
    </xdr:to>
    <xdr:graphicFrame macro="">
      <xdr:nvGraphicFramePr>
        <xdr:cNvPr id="25" name="Chart 24">
          <a:extLst>
            <a:ext uri="{FF2B5EF4-FFF2-40B4-BE49-F238E27FC236}">
              <a16:creationId xmlns:a16="http://schemas.microsoft.com/office/drawing/2014/main" id="{DB2E49C9-B46C-4AAD-823B-1BED1B387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346459</xdr:colOff>
      <xdr:row>19</xdr:row>
      <xdr:rowOff>17992</xdr:rowOff>
    </xdr:from>
    <xdr:to>
      <xdr:col>20</xdr:col>
      <xdr:colOff>605539</xdr:colOff>
      <xdr:row>37</xdr:row>
      <xdr:rowOff>39159</xdr:rowOff>
    </xdr:to>
    <xdr:sp macro="" textlink="">
      <xdr:nvSpPr>
        <xdr:cNvPr id="28" name="Rectangle: Rounded Corners 27">
          <a:extLst>
            <a:ext uri="{FF2B5EF4-FFF2-40B4-BE49-F238E27FC236}">
              <a16:creationId xmlns:a16="http://schemas.microsoft.com/office/drawing/2014/main" id="{AD65FE7C-530F-40CA-A447-6303C7125435}"/>
            </a:ext>
          </a:extLst>
        </xdr:cNvPr>
        <xdr:cNvSpPr/>
      </xdr:nvSpPr>
      <xdr:spPr>
        <a:xfrm>
          <a:off x="11852659" y="4539192"/>
          <a:ext cx="5669280" cy="4135967"/>
        </a:xfrm>
        <a:prstGeom prst="roundRect">
          <a:avLst/>
        </a:prstGeom>
        <a:solidFill>
          <a:schemeClr val="bg1"/>
        </a:solidFill>
        <a:ln>
          <a:noFill/>
        </a:ln>
        <a:effectLst>
          <a:outerShdw blurRad="1270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Segoe UI" panose="020B0502040204020203" pitchFamily="34" charset="0"/>
            <a:cs typeface="Segoe UI" panose="020B0502040204020203" pitchFamily="34" charset="0"/>
          </a:endParaRPr>
        </a:p>
      </xdr:txBody>
    </xdr:sp>
    <xdr:clientData/>
  </xdr:twoCellAnchor>
  <xdr:twoCellAnchor>
    <xdr:from>
      <xdr:col>10</xdr:col>
      <xdr:colOff>469900</xdr:colOff>
      <xdr:row>19</xdr:row>
      <xdr:rowOff>42335</xdr:rowOff>
    </xdr:from>
    <xdr:to>
      <xdr:col>21</xdr:col>
      <xdr:colOff>1</xdr:colOff>
      <xdr:row>36</xdr:row>
      <xdr:rowOff>76200</xdr:rowOff>
    </xdr:to>
    <xdr:graphicFrame macro="">
      <xdr:nvGraphicFramePr>
        <xdr:cNvPr id="29" name="Chart 28">
          <a:extLst>
            <a:ext uri="{FF2B5EF4-FFF2-40B4-BE49-F238E27FC236}">
              <a16:creationId xmlns:a16="http://schemas.microsoft.com/office/drawing/2014/main" id="{A2BD5298-6773-47CB-870A-B57F724E8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105833</xdr:colOff>
      <xdr:row>45</xdr:row>
      <xdr:rowOff>0</xdr:rowOff>
    </xdr:from>
    <xdr:ext cx="184731" cy="279948"/>
    <xdr:sp macro="" textlink="">
      <xdr:nvSpPr>
        <xdr:cNvPr id="42" name="TextBox 41">
          <a:extLst>
            <a:ext uri="{FF2B5EF4-FFF2-40B4-BE49-F238E27FC236}">
              <a16:creationId xmlns:a16="http://schemas.microsoft.com/office/drawing/2014/main" id="{AF67A47D-B374-ACF7-7855-201E0D752B66}"/>
            </a:ext>
          </a:extLst>
        </xdr:cNvPr>
        <xdr:cNvSpPr txBox="1"/>
      </xdr:nvSpPr>
      <xdr:spPr>
        <a:xfrm>
          <a:off x="289277" y="9031111"/>
          <a:ext cx="184731"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latin typeface="Segoe UI" panose="020B0502040204020203" pitchFamily="34" charset="0"/>
            <a:cs typeface="Segoe UI" panose="020B0502040204020203" pitchFamily="34" charset="0"/>
          </a:endParaRPr>
        </a:p>
      </xdr:txBody>
    </xdr:sp>
    <xdr:clientData/>
  </xdr:oneCellAnchor>
  <xdr:twoCellAnchor>
    <xdr:from>
      <xdr:col>1</xdr:col>
      <xdr:colOff>7408</xdr:colOff>
      <xdr:row>44</xdr:row>
      <xdr:rowOff>211570</xdr:rowOff>
    </xdr:from>
    <xdr:to>
      <xdr:col>9</xdr:col>
      <xdr:colOff>472228</xdr:colOff>
      <xdr:row>63</xdr:row>
      <xdr:rowOff>1828</xdr:rowOff>
    </xdr:to>
    <xdr:sp macro="" textlink="">
      <xdr:nvSpPr>
        <xdr:cNvPr id="2" name="Rectangle: Rounded Corners 1">
          <a:extLst>
            <a:ext uri="{FF2B5EF4-FFF2-40B4-BE49-F238E27FC236}">
              <a16:creationId xmlns:a16="http://schemas.microsoft.com/office/drawing/2014/main" id="{B5ACDFCC-318F-4F4D-BCBC-7A8A37E15769}"/>
            </a:ext>
          </a:extLst>
        </xdr:cNvPr>
        <xdr:cNvSpPr/>
      </xdr:nvSpPr>
      <xdr:spPr>
        <a:xfrm>
          <a:off x="197908" y="10625570"/>
          <a:ext cx="11247120" cy="4133658"/>
        </a:xfrm>
        <a:prstGeom prst="roundRect">
          <a:avLst/>
        </a:prstGeom>
        <a:solidFill>
          <a:schemeClr val="bg1"/>
        </a:solidFill>
        <a:ln>
          <a:noFill/>
        </a:ln>
        <a:effectLst>
          <a:outerShdw blurRad="1270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Segoe UI" panose="020B0502040204020203" pitchFamily="34" charset="0"/>
            <a:cs typeface="Segoe UI" panose="020B0502040204020203" pitchFamily="34" charset="0"/>
          </a:endParaRPr>
        </a:p>
      </xdr:txBody>
    </xdr:sp>
    <xdr:clientData/>
  </xdr:twoCellAnchor>
  <xdr:twoCellAnchor>
    <xdr:from>
      <xdr:col>0</xdr:col>
      <xdr:colOff>182899</xdr:colOff>
      <xdr:row>45</xdr:row>
      <xdr:rowOff>23091</xdr:rowOff>
    </xdr:from>
    <xdr:to>
      <xdr:col>9</xdr:col>
      <xdr:colOff>330200</xdr:colOff>
      <xdr:row>62</xdr:row>
      <xdr:rowOff>224726</xdr:rowOff>
    </xdr:to>
    <xdr:graphicFrame macro="">
      <xdr:nvGraphicFramePr>
        <xdr:cNvPr id="4" name="Chart 3">
          <a:extLst>
            <a:ext uri="{FF2B5EF4-FFF2-40B4-BE49-F238E27FC236}">
              <a16:creationId xmlns:a16="http://schemas.microsoft.com/office/drawing/2014/main" id="{E3D93DFB-C679-4004-9D9B-CD9E640F3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379989</xdr:colOff>
      <xdr:row>44</xdr:row>
      <xdr:rowOff>211570</xdr:rowOff>
    </xdr:from>
    <xdr:to>
      <xdr:col>21</xdr:col>
      <xdr:colOff>29469</xdr:colOff>
      <xdr:row>63</xdr:row>
      <xdr:rowOff>1828</xdr:rowOff>
    </xdr:to>
    <xdr:sp macro="" textlink="">
      <xdr:nvSpPr>
        <xdr:cNvPr id="13" name="Rectangle: Rounded Corners 12">
          <a:extLst>
            <a:ext uri="{FF2B5EF4-FFF2-40B4-BE49-F238E27FC236}">
              <a16:creationId xmlns:a16="http://schemas.microsoft.com/office/drawing/2014/main" id="{4AF92D48-A074-4A17-A758-906126676783}"/>
            </a:ext>
          </a:extLst>
        </xdr:cNvPr>
        <xdr:cNvSpPr/>
      </xdr:nvSpPr>
      <xdr:spPr>
        <a:xfrm>
          <a:off x="11886189" y="10625570"/>
          <a:ext cx="5669280" cy="4133658"/>
        </a:xfrm>
        <a:prstGeom prst="roundRect">
          <a:avLst/>
        </a:prstGeom>
        <a:solidFill>
          <a:schemeClr val="bg1"/>
        </a:solidFill>
        <a:ln>
          <a:noFill/>
        </a:ln>
        <a:effectLst>
          <a:outerShdw blurRad="1270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Segoe UI" panose="020B0502040204020203" pitchFamily="34" charset="0"/>
            <a:cs typeface="Segoe UI" panose="020B0502040204020203" pitchFamily="34" charset="0"/>
          </a:endParaRPr>
        </a:p>
      </xdr:txBody>
    </xdr:sp>
    <xdr:clientData/>
  </xdr:twoCellAnchor>
  <xdr:twoCellAnchor>
    <xdr:from>
      <xdr:col>10</xdr:col>
      <xdr:colOff>419101</xdr:colOff>
      <xdr:row>45</xdr:row>
      <xdr:rowOff>78990</xdr:rowOff>
    </xdr:from>
    <xdr:to>
      <xdr:col>20</xdr:col>
      <xdr:colOff>554761</xdr:colOff>
      <xdr:row>62</xdr:row>
      <xdr:rowOff>76200</xdr:rowOff>
    </xdr:to>
    <xdr:graphicFrame macro="">
      <xdr:nvGraphicFramePr>
        <xdr:cNvPr id="18" name="Chart 17">
          <a:extLst>
            <a:ext uri="{FF2B5EF4-FFF2-40B4-BE49-F238E27FC236}">
              <a16:creationId xmlns:a16="http://schemas.microsoft.com/office/drawing/2014/main" id="{1CC49E66-1369-4383-A5CE-4CC8FC02C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172991</xdr:colOff>
      <xdr:row>71</xdr:row>
      <xdr:rowOff>17606</xdr:rowOff>
    </xdr:from>
    <xdr:to>
      <xdr:col>9</xdr:col>
      <xdr:colOff>447311</xdr:colOff>
      <xdr:row>88</xdr:row>
      <xdr:rowOff>38773</xdr:rowOff>
    </xdr:to>
    <xdr:sp macro="" textlink="">
      <xdr:nvSpPr>
        <xdr:cNvPr id="20" name="Rectangle: Rounded Corners 19">
          <a:extLst>
            <a:ext uri="{FF2B5EF4-FFF2-40B4-BE49-F238E27FC236}">
              <a16:creationId xmlns:a16="http://schemas.microsoft.com/office/drawing/2014/main" id="{47E85BDF-1CDF-4E96-A7C3-222C35CDE8E6}"/>
            </a:ext>
          </a:extLst>
        </xdr:cNvPr>
        <xdr:cNvSpPr/>
      </xdr:nvSpPr>
      <xdr:spPr>
        <a:xfrm>
          <a:off x="172991" y="16781606"/>
          <a:ext cx="11247120" cy="3907367"/>
        </a:xfrm>
        <a:prstGeom prst="roundRect">
          <a:avLst/>
        </a:prstGeom>
        <a:solidFill>
          <a:schemeClr val="bg1"/>
        </a:solidFill>
        <a:ln>
          <a:noFill/>
        </a:ln>
        <a:effectLst>
          <a:outerShdw blurRad="1270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Segoe UI" panose="020B0502040204020203" pitchFamily="34" charset="0"/>
            <a:cs typeface="Segoe UI" panose="020B0502040204020203" pitchFamily="34" charset="0"/>
          </a:endParaRPr>
        </a:p>
      </xdr:txBody>
    </xdr:sp>
    <xdr:clientData/>
  </xdr:twoCellAnchor>
  <xdr:twoCellAnchor>
    <xdr:from>
      <xdr:col>1</xdr:col>
      <xdr:colOff>2983</xdr:colOff>
      <xdr:row>71</xdr:row>
      <xdr:rowOff>42303</xdr:rowOff>
    </xdr:from>
    <xdr:to>
      <xdr:col>9</xdr:col>
      <xdr:colOff>457200</xdr:colOff>
      <xdr:row>88</xdr:row>
      <xdr:rowOff>30757</xdr:rowOff>
    </xdr:to>
    <xdr:graphicFrame macro="">
      <xdr:nvGraphicFramePr>
        <xdr:cNvPr id="21" name="Chart 20">
          <a:extLst>
            <a:ext uri="{FF2B5EF4-FFF2-40B4-BE49-F238E27FC236}">
              <a16:creationId xmlns:a16="http://schemas.microsoft.com/office/drawing/2014/main" id="{91835E28-57C1-4A70-92A7-52C29CCEB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379989</xdr:colOff>
      <xdr:row>70</xdr:row>
      <xdr:rowOff>225425</xdr:rowOff>
    </xdr:from>
    <xdr:to>
      <xdr:col>21</xdr:col>
      <xdr:colOff>29469</xdr:colOff>
      <xdr:row>88</xdr:row>
      <xdr:rowOff>15682</xdr:rowOff>
    </xdr:to>
    <xdr:sp macro="" textlink="">
      <xdr:nvSpPr>
        <xdr:cNvPr id="22" name="Rectangle: Rounded Corners 21">
          <a:extLst>
            <a:ext uri="{FF2B5EF4-FFF2-40B4-BE49-F238E27FC236}">
              <a16:creationId xmlns:a16="http://schemas.microsoft.com/office/drawing/2014/main" id="{74CC60CC-C371-4A0B-AC85-9C16BC26192E}"/>
            </a:ext>
          </a:extLst>
        </xdr:cNvPr>
        <xdr:cNvSpPr/>
      </xdr:nvSpPr>
      <xdr:spPr>
        <a:xfrm>
          <a:off x="11886189" y="16760825"/>
          <a:ext cx="5669280" cy="3905057"/>
        </a:xfrm>
        <a:prstGeom prst="roundRect">
          <a:avLst/>
        </a:prstGeom>
        <a:solidFill>
          <a:schemeClr val="bg1"/>
        </a:solidFill>
        <a:ln>
          <a:noFill/>
        </a:ln>
        <a:effectLst>
          <a:outerShdw blurRad="1270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Segoe UI" panose="020B0502040204020203" pitchFamily="34" charset="0"/>
            <a:cs typeface="Segoe UI" panose="020B0502040204020203" pitchFamily="34" charset="0"/>
          </a:endParaRPr>
        </a:p>
      </xdr:txBody>
    </xdr:sp>
    <xdr:clientData/>
  </xdr:twoCellAnchor>
  <xdr:twoCellAnchor>
    <xdr:from>
      <xdr:col>10</xdr:col>
      <xdr:colOff>323754</xdr:colOff>
      <xdr:row>71</xdr:row>
      <xdr:rowOff>47818</xdr:rowOff>
    </xdr:from>
    <xdr:to>
      <xdr:col>20</xdr:col>
      <xdr:colOff>582834</xdr:colOff>
      <xdr:row>88</xdr:row>
      <xdr:rowOff>131075</xdr:rowOff>
    </xdr:to>
    <xdr:graphicFrame macro="">
      <xdr:nvGraphicFramePr>
        <xdr:cNvPr id="24" name="Chart 23">
          <a:extLst>
            <a:ext uri="{FF2B5EF4-FFF2-40B4-BE49-F238E27FC236}">
              <a16:creationId xmlns:a16="http://schemas.microsoft.com/office/drawing/2014/main" id="{24DD74A5-E8FC-4069-8904-42851444C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49452</xdr:colOff>
      <xdr:row>38</xdr:row>
      <xdr:rowOff>63500</xdr:rowOff>
    </xdr:from>
    <xdr:to>
      <xdr:col>21</xdr:col>
      <xdr:colOff>0</xdr:colOff>
      <xdr:row>42</xdr:row>
      <xdr:rowOff>74084</xdr:rowOff>
    </xdr:to>
    <xdr:sp macro="" textlink="">
      <xdr:nvSpPr>
        <xdr:cNvPr id="36" name="Rectangle: Rounded Corners 35">
          <a:extLst>
            <a:ext uri="{FF2B5EF4-FFF2-40B4-BE49-F238E27FC236}">
              <a16:creationId xmlns:a16="http://schemas.microsoft.com/office/drawing/2014/main" id="{115D90F2-22A9-4679-8789-05486216D61A}"/>
            </a:ext>
          </a:extLst>
        </xdr:cNvPr>
        <xdr:cNvSpPr/>
      </xdr:nvSpPr>
      <xdr:spPr>
        <a:xfrm rot="10800000" flipV="1">
          <a:off x="229369" y="9080500"/>
          <a:ext cx="12888865" cy="941917"/>
        </a:xfrm>
        <a:prstGeom prst="roundRect">
          <a:avLst/>
        </a:prstGeom>
        <a:solidFill>
          <a:schemeClr val="bg1"/>
        </a:solidFill>
        <a:ln>
          <a:noFill/>
        </a:ln>
        <a:effectLst>
          <a:outerShdw blurRad="1270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BA7517"/>
              </a:solidFill>
              <a:latin typeface="Segoe UI" panose="020B0502040204020203" pitchFamily="34" charset="0"/>
              <a:cs typeface="Segoe UI" panose="020B0502040204020203" pitchFamily="34" charset="0"/>
            </a:rPr>
            <a:t>📌</a:t>
          </a:r>
          <a:r>
            <a:rPr lang="en-US" sz="1300" b="1">
              <a:solidFill>
                <a:srgbClr val="BA7517"/>
              </a:solidFill>
              <a:latin typeface="Segoe UI" panose="020B0502040204020203" pitchFamily="34" charset="0"/>
              <a:cs typeface="Segoe UI" panose="020B0502040204020203" pitchFamily="34" charset="0"/>
            </a:rPr>
            <a:t> Key Insight</a:t>
          </a:r>
        </a:p>
      </xdr:txBody>
    </xdr:sp>
    <xdr:clientData/>
  </xdr:twoCellAnchor>
  <xdr:oneCellAnchor>
    <xdr:from>
      <xdr:col>1</xdr:col>
      <xdr:colOff>438150</xdr:colOff>
      <xdr:row>39</xdr:row>
      <xdr:rowOff>28398</xdr:rowOff>
    </xdr:from>
    <xdr:ext cx="12266767" cy="1114603"/>
    <xdr:sp macro="" textlink="">
      <xdr:nvSpPr>
        <xdr:cNvPr id="37" name="TextBox 36">
          <a:extLst>
            <a:ext uri="{FF2B5EF4-FFF2-40B4-BE49-F238E27FC236}">
              <a16:creationId xmlns:a16="http://schemas.microsoft.com/office/drawing/2014/main" id="{F1E62765-158B-EE65-AD21-D8FC4ED584D4}"/>
            </a:ext>
          </a:extLst>
        </xdr:cNvPr>
        <xdr:cNvSpPr txBox="1"/>
      </xdr:nvSpPr>
      <xdr:spPr>
        <a:xfrm>
          <a:off x="618067" y="9278231"/>
          <a:ext cx="12266767" cy="11146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300">
              <a:solidFill>
                <a:schemeClr val="bg2">
                  <a:lumMod val="50000"/>
                </a:schemeClr>
              </a:solidFill>
              <a:latin typeface="Segoe UI" panose="020B0502040204020203" pitchFamily="34" charset="0"/>
              <a:cs typeface="Segoe UI" panose="020B0502040204020203" pitchFamily="34" charset="0"/>
            </a:rPr>
            <a:t>• </a:t>
          </a:r>
          <a:r>
            <a:rPr lang="en-US" sz="1300" b="0">
              <a:solidFill>
                <a:schemeClr val="bg2">
                  <a:lumMod val="50000"/>
                </a:schemeClr>
              </a:solidFill>
              <a:latin typeface="Segoe UI" panose="020B0502040204020203" pitchFamily="34" charset="0"/>
              <a:cs typeface="Segoe UI" panose="020B0502040204020203" pitchFamily="34" charset="0"/>
            </a:rPr>
            <a:t>Overall,</a:t>
          </a:r>
          <a:r>
            <a:rPr lang="en-US" sz="1300" b="0" baseline="0">
              <a:solidFill>
                <a:schemeClr val="bg2">
                  <a:lumMod val="50000"/>
                </a:schemeClr>
              </a:solidFill>
              <a:latin typeface="Segoe UI" panose="020B0502040204020203" pitchFamily="34" charset="0"/>
              <a:cs typeface="Segoe UI" panose="020B0502040204020203" pitchFamily="34" charset="0"/>
            </a:rPr>
            <a:t> </a:t>
          </a:r>
          <a:r>
            <a:rPr lang="en-US" sz="1300" b="1" baseline="0">
              <a:solidFill>
                <a:schemeClr val="bg2">
                  <a:lumMod val="50000"/>
                </a:schemeClr>
              </a:solidFill>
              <a:latin typeface="Segoe UI" panose="020B0502040204020203" pitchFamily="34" charset="0"/>
              <a:cs typeface="Segoe UI" panose="020B0502040204020203" pitchFamily="34" charset="0"/>
            </a:rPr>
            <a:t>o</a:t>
          </a:r>
          <a:r>
            <a:rPr lang="en-US" sz="1300" b="1">
              <a:solidFill>
                <a:schemeClr val="bg2">
                  <a:lumMod val="50000"/>
                </a:schemeClr>
              </a:solidFill>
              <a:latin typeface="Segoe UI" panose="020B0502040204020203" pitchFamily="34" charset="0"/>
              <a:cs typeface="Segoe UI" panose="020B0502040204020203" pitchFamily="34" charset="0"/>
            </a:rPr>
            <a:t>n-time performance recovered significantly</a:t>
          </a:r>
          <a:r>
            <a:rPr lang="en-US" sz="1300">
              <a:solidFill>
                <a:schemeClr val="bg2">
                  <a:lumMod val="50000"/>
                </a:schemeClr>
              </a:solidFill>
              <a:latin typeface="Segoe UI" panose="020B0502040204020203" pitchFamily="34" charset="0"/>
              <a:cs typeface="Segoe UI" panose="020B0502040204020203" pitchFamily="34" charset="0"/>
            </a:rPr>
            <a:t>, increasing from </a:t>
          </a:r>
          <a:r>
            <a:rPr lang="en-US" sz="1300" b="1">
              <a:solidFill>
                <a:schemeClr val="bg2">
                  <a:lumMod val="50000"/>
                </a:schemeClr>
              </a:solidFill>
              <a:latin typeface="Segoe UI" panose="020B0502040204020203" pitchFamily="34" charset="0"/>
              <a:cs typeface="Segoe UI" panose="020B0502040204020203" pitchFamily="34" charset="0"/>
            </a:rPr>
            <a:t>76.9% (Nov-25)</a:t>
          </a:r>
          <a:r>
            <a:rPr lang="en-US" sz="1300">
              <a:solidFill>
                <a:schemeClr val="bg2">
                  <a:lumMod val="50000"/>
                </a:schemeClr>
              </a:solidFill>
              <a:latin typeface="Segoe UI" panose="020B0502040204020203" pitchFamily="34" charset="0"/>
              <a:cs typeface="Segoe UI" panose="020B0502040204020203" pitchFamily="34" charset="0"/>
            </a:rPr>
            <a:t> to </a:t>
          </a:r>
          <a:r>
            <a:rPr lang="en-US" sz="1300" b="1">
              <a:solidFill>
                <a:schemeClr val="bg2">
                  <a:lumMod val="50000"/>
                </a:schemeClr>
              </a:solidFill>
              <a:latin typeface="Segoe UI" panose="020B0502040204020203" pitchFamily="34" charset="0"/>
              <a:cs typeface="Segoe UI" panose="020B0502040204020203" pitchFamily="34" charset="0"/>
            </a:rPr>
            <a:t>92.3% (Jul-26)</a:t>
          </a:r>
          <a:r>
            <a:rPr lang="en-US" sz="1300">
              <a:solidFill>
                <a:schemeClr val="bg2">
                  <a:lumMod val="50000"/>
                </a:schemeClr>
              </a:solidFill>
              <a:effectLst/>
              <a:latin typeface="Segoe UI" panose="020B0502040204020203" pitchFamily="34" charset="0"/>
              <a:ea typeface="+mn-ea"/>
              <a:cs typeface="Segoe UI" panose="020B0502040204020203" pitchFamily="34" charset="0"/>
            </a:rPr>
            <a:t>.</a:t>
          </a:r>
          <a:endParaRPr lang="en-US" sz="1300">
            <a:solidFill>
              <a:schemeClr val="bg2">
                <a:lumMod val="50000"/>
              </a:schemeClr>
            </a:solidFill>
            <a:latin typeface="Segoe UI" panose="020B0502040204020203" pitchFamily="34" charset="0"/>
            <a:cs typeface="Segoe UI" panose="020B0502040204020203" pitchFamily="34" charset="0"/>
          </a:endParaRPr>
        </a:p>
        <a:p>
          <a:r>
            <a:rPr lang="en-US" sz="1300">
              <a:solidFill>
                <a:schemeClr val="bg2">
                  <a:lumMod val="50000"/>
                </a:schemeClr>
              </a:solidFill>
              <a:latin typeface="Segoe UI" panose="020B0502040204020203" pitchFamily="34" charset="0"/>
              <a:cs typeface="Segoe UI" panose="020B0502040204020203" pitchFamily="34" charset="0"/>
            </a:rPr>
            <a:t>• </a:t>
          </a:r>
          <a:r>
            <a:rPr lang="en-US" sz="1300" b="1">
              <a:solidFill>
                <a:schemeClr val="bg2">
                  <a:lumMod val="50000"/>
                </a:schemeClr>
              </a:solidFill>
              <a:latin typeface="Segoe UI" panose="020B0502040204020203" pitchFamily="34" charset="0"/>
              <a:cs typeface="Segoe UI" panose="020B0502040204020203" pitchFamily="34" charset="0"/>
            </a:rPr>
            <a:t>No carrier currently meets the 90% SLA benchmark</a:t>
          </a:r>
          <a:r>
            <a:rPr lang="en-US" sz="1300">
              <a:solidFill>
                <a:schemeClr val="bg2">
                  <a:lumMod val="50000"/>
                </a:schemeClr>
              </a:solidFill>
              <a:latin typeface="Segoe UI" panose="020B0502040204020203" pitchFamily="34" charset="0"/>
              <a:cs typeface="Segoe UI" panose="020B0502040204020203" pitchFamily="34" charset="0"/>
            </a:rPr>
            <a:t>; carrier performance ranges from</a:t>
          </a:r>
          <a:r>
            <a:rPr lang="en-US" sz="1300">
              <a:solidFill>
                <a:srgbClr val="C00000"/>
              </a:solidFill>
              <a:latin typeface="Segoe UI" panose="020B0502040204020203" pitchFamily="34" charset="0"/>
              <a:cs typeface="Segoe UI" panose="020B0502040204020203" pitchFamily="34" charset="0"/>
            </a:rPr>
            <a:t> </a:t>
          </a:r>
          <a:r>
            <a:rPr lang="en-US" sz="1300" b="1">
              <a:solidFill>
                <a:srgbClr val="C00000"/>
              </a:solidFill>
              <a:latin typeface="Segoe UI" panose="020B0502040204020203" pitchFamily="34" charset="0"/>
              <a:cs typeface="Segoe UI" panose="020B0502040204020203" pitchFamily="34" charset="0"/>
            </a:rPr>
            <a:t>80.7%</a:t>
          </a:r>
          <a:r>
            <a:rPr lang="en-US" sz="1300" b="1" baseline="0">
              <a:solidFill>
                <a:srgbClr val="C00000"/>
              </a:solidFill>
              <a:latin typeface="Segoe UI" panose="020B0502040204020203" pitchFamily="34" charset="0"/>
              <a:cs typeface="Segoe UI" panose="020B0502040204020203" pitchFamily="34" charset="0"/>
            </a:rPr>
            <a:t> - </a:t>
          </a:r>
          <a:r>
            <a:rPr lang="en-US" sz="1300" b="1">
              <a:solidFill>
                <a:srgbClr val="C00000"/>
              </a:solidFill>
              <a:latin typeface="Segoe UI" panose="020B0502040204020203" pitchFamily="34" charset="0"/>
              <a:cs typeface="Segoe UI" panose="020B0502040204020203" pitchFamily="34" charset="0"/>
            </a:rPr>
            <a:t>RailLink Logistics </a:t>
          </a:r>
          <a:r>
            <a:rPr lang="en-US" sz="1300" b="1">
              <a:solidFill>
                <a:schemeClr val="bg2">
                  <a:lumMod val="50000"/>
                </a:schemeClr>
              </a:solidFill>
              <a:latin typeface="Segoe UI" panose="020B0502040204020203" pitchFamily="34" charset="0"/>
              <a:cs typeface="Segoe UI" panose="020B0502040204020203" pitchFamily="34" charset="0"/>
            </a:rPr>
            <a:t>to 85.4%</a:t>
          </a:r>
          <a:r>
            <a:rPr lang="en-US" sz="1300">
              <a:solidFill>
                <a:schemeClr val="bg2">
                  <a:lumMod val="50000"/>
                </a:schemeClr>
              </a:solidFill>
              <a:latin typeface="Segoe UI" panose="020B0502040204020203" pitchFamily="34" charset="0"/>
              <a:cs typeface="Segoe UI" panose="020B0502040204020203" pitchFamily="34" charset="0"/>
            </a:rPr>
            <a:t> (a </a:t>
          </a:r>
          <a:r>
            <a:rPr lang="en-US" sz="1300" b="1">
              <a:solidFill>
                <a:schemeClr val="bg2">
                  <a:lumMod val="50000"/>
                </a:schemeClr>
              </a:solidFill>
              <a:latin typeface="Segoe UI" panose="020B0502040204020203" pitchFamily="34" charset="0"/>
              <a:cs typeface="Segoe UI" panose="020B0502040204020203" pitchFamily="34" charset="0"/>
            </a:rPr>
            <a:t>4.7 percentage-point</a:t>
          </a:r>
          <a:r>
            <a:rPr lang="en-US" sz="1300">
              <a:solidFill>
                <a:schemeClr val="bg2">
                  <a:lumMod val="50000"/>
                </a:schemeClr>
              </a:solidFill>
              <a:latin typeface="Segoe UI" panose="020B0502040204020203" pitchFamily="34" charset="0"/>
              <a:cs typeface="Segoe UI" panose="020B0502040204020203" pitchFamily="34" charset="0"/>
            </a:rPr>
            <a:t> gap).</a:t>
          </a:r>
        </a:p>
        <a:p>
          <a:endParaRPr lang="en-US" sz="1300">
            <a:solidFill>
              <a:schemeClr val="bg2">
                <a:lumMod val="50000"/>
              </a:schemeClr>
            </a:solidFill>
            <a:latin typeface="Segoe UI" panose="020B0502040204020203" pitchFamily="34" charset="0"/>
            <a:cs typeface="Segoe UI" panose="020B0502040204020203" pitchFamily="34" charset="0"/>
          </a:endParaRPr>
        </a:p>
      </xdr:txBody>
    </xdr:sp>
    <xdr:clientData/>
  </xdr:oneCellAnchor>
  <xdr:twoCellAnchor>
    <xdr:from>
      <xdr:col>1</xdr:col>
      <xdr:colOff>49450</xdr:colOff>
      <xdr:row>63</xdr:row>
      <xdr:rowOff>190503</xdr:rowOff>
    </xdr:from>
    <xdr:to>
      <xdr:col>21</xdr:col>
      <xdr:colOff>0</xdr:colOff>
      <xdr:row>68</xdr:row>
      <xdr:rowOff>0</xdr:rowOff>
    </xdr:to>
    <xdr:sp macro="" textlink="">
      <xdr:nvSpPr>
        <xdr:cNvPr id="40" name="Rectangle: Rounded Corners 39">
          <a:extLst>
            <a:ext uri="{FF2B5EF4-FFF2-40B4-BE49-F238E27FC236}">
              <a16:creationId xmlns:a16="http://schemas.microsoft.com/office/drawing/2014/main" id="{2B72F664-EFDF-4FBB-89A3-F6B0DCB3C5D2}"/>
            </a:ext>
          </a:extLst>
        </xdr:cNvPr>
        <xdr:cNvSpPr/>
      </xdr:nvSpPr>
      <xdr:spPr>
        <a:xfrm rot="10800000" flipV="1">
          <a:off x="229367" y="15430503"/>
          <a:ext cx="12888865" cy="1015998"/>
        </a:xfrm>
        <a:prstGeom prst="roundRect">
          <a:avLst/>
        </a:prstGeom>
        <a:solidFill>
          <a:schemeClr val="bg1"/>
        </a:solidFill>
        <a:ln>
          <a:noFill/>
        </a:ln>
        <a:effectLst>
          <a:outerShdw blurRad="1270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BA7517"/>
              </a:solidFill>
              <a:latin typeface="Segoe UI" panose="020B0502040204020203" pitchFamily="34" charset="0"/>
              <a:cs typeface="Segoe UI" panose="020B0502040204020203" pitchFamily="34" charset="0"/>
            </a:rPr>
            <a:t>📌</a:t>
          </a:r>
          <a:r>
            <a:rPr lang="en-US" sz="1300" b="1">
              <a:solidFill>
                <a:srgbClr val="BA7517"/>
              </a:solidFill>
              <a:latin typeface="Segoe UI" panose="020B0502040204020203" pitchFamily="34" charset="0"/>
              <a:cs typeface="Segoe UI" panose="020B0502040204020203" pitchFamily="34" charset="0"/>
            </a:rPr>
            <a:t> Key Insight</a:t>
          </a:r>
        </a:p>
      </xdr:txBody>
    </xdr:sp>
    <xdr:clientData/>
  </xdr:twoCellAnchor>
  <xdr:oneCellAnchor>
    <xdr:from>
      <xdr:col>1</xdr:col>
      <xdr:colOff>422276</xdr:colOff>
      <xdr:row>64</xdr:row>
      <xdr:rowOff>96131</xdr:rowOff>
    </xdr:from>
    <xdr:ext cx="12266767" cy="1004535"/>
    <xdr:sp macro="" textlink="">
      <xdr:nvSpPr>
        <xdr:cNvPr id="41" name="TextBox 40">
          <a:extLst>
            <a:ext uri="{FF2B5EF4-FFF2-40B4-BE49-F238E27FC236}">
              <a16:creationId xmlns:a16="http://schemas.microsoft.com/office/drawing/2014/main" id="{F3B9192A-C29A-4FA6-AF73-DE684F8A1182}"/>
            </a:ext>
          </a:extLst>
        </xdr:cNvPr>
        <xdr:cNvSpPr txBox="1"/>
      </xdr:nvSpPr>
      <xdr:spPr>
        <a:xfrm>
          <a:off x="612776" y="15082131"/>
          <a:ext cx="12266767" cy="1004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lvl="0"/>
          <a:r>
            <a:rPr lang="en-US" sz="1300">
              <a:solidFill>
                <a:schemeClr val="bg2">
                  <a:lumMod val="50000"/>
                </a:schemeClr>
              </a:solidFill>
              <a:effectLst/>
              <a:latin typeface="Segoe UI" panose="020B0502040204020203" pitchFamily="34" charset="0"/>
              <a:ea typeface="+mn-ea"/>
              <a:cs typeface="Segoe UI" panose="020B0502040204020203" pitchFamily="34" charset="0"/>
            </a:rPr>
            <a:t>• </a:t>
          </a:r>
          <a:r>
            <a:rPr lang="en-US" sz="1300">
              <a:solidFill>
                <a:schemeClr val="bg2">
                  <a:lumMod val="50000"/>
                </a:schemeClr>
              </a:solidFill>
              <a:effectLst/>
              <a:latin typeface="Segoe UI" panose="020B0502040204020203" pitchFamily="34" charset="0"/>
              <a:cs typeface="Segoe UI" panose="020B0502040204020203" pitchFamily="34" charset="0"/>
            </a:rPr>
            <a:t>Regional SLA compliance ranges </a:t>
          </a:r>
          <a:r>
            <a:rPr lang="en-US" sz="1300" b="1">
              <a:solidFill>
                <a:schemeClr val="bg2">
                  <a:lumMod val="50000"/>
                </a:schemeClr>
              </a:solidFill>
              <a:effectLst/>
              <a:latin typeface="Segoe UI" panose="020B0502040204020203" pitchFamily="34" charset="0"/>
              <a:cs typeface="Segoe UI" panose="020B0502040204020203" pitchFamily="34" charset="0"/>
            </a:rPr>
            <a:t>80.8%</a:t>
          </a:r>
          <a:r>
            <a:rPr lang="en-US" sz="1300" b="1" baseline="0">
              <a:solidFill>
                <a:schemeClr val="bg2">
                  <a:lumMod val="50000"/>
                </a:schemeClr>
              </a:solidFill>
              <a:effectLst/>
              <a:latin typeface="Segoe UI" panose="020B0502040204020203" pitchFamily="34" charset="0"/>
              <a:cs typeface="Segoe UI" panose="020B0502040204020203" pitchFamily="34" charset="0"/>
            </a:rPr>
            <a:t> - </a:t>
          </a:r>
          <a:r>
            <a:rPr lang="en-US" sz="1300" b="1">
              <a:solidFill>
                <a:schemeClr val="bg2">
                  <a:lumMod val="50000"/>
                </a:schemeClr>
              </a:solidFill>
              <a:effectLst/>
              <a:latin typeface="Segoe UI" panose="020B0502040204020203" pitchFamily="34" charset="0"/>
              <a:cs typeface="Segoe UI" panose="020B0502040204020203" pitchFamily="34" charset="0"/>
            </a:rPr>
            <a:t>86%</a:t>
          </a:r>
          <a:r>
            <a:rPr lang="en-US" sz="1300">
              <a:solidFill>
                <a:schemeClr val="bg2">
                  <a:lumMod val="50000"/>
                </a:schemeClr>
              </a:solidFill>
              <a:effectLst/>
              <a:latin typeface="Segoe UI" panose="020B0502040204020203" pitchFamily="34" charset="0"/>
              <a:cs typeface="Segoe UI" panose="020B0502040204020203" pitchFamily="34" charset="0"/>
            </a:rPr>
            <a:t>, with </a:t>
          </a:r>
          <a:r>
            <a:rPr lang="en-US" sz="1300" b="1">
              <a:solidFill>
                <a:schemeClr val="bg2">
                  <a:lumMod val="50000"/>
                </a:schemeClr>
              </a:solidFill>
              <a:effectLst/>
              <a:latin typeface="Segoe UI" panose="020B0502040204020203" pitchFamily="34" charset="0"/>
              <a:cs typeface="Segoe UI" panose="020B0502040204020203" pitchFamily="34" charset="0"/>
            </a:rPr>
            <a:t>US-East highest</a:t>
          </a:r>
          <a:r>
            <a:rPr lang="en-US" sz="1300">
              <a:solidFill>
                <a:schemeClr val="bg2">
                  <a:lumMod val="50000"/>
                </a:schemeClr>
              </a:solidFill>
              <a:effectLst/>
              <a:latin typeface="Segoe UI" panose="020B0502040204020203" pitchFamily="34" charset="0"/>
              <a:cs typeface="Segoe UI" panose="020B0502040204020203" pitchFamily="34" charset="0"/>
            </a:rPr>
            <a:t> and </a:t>
          </a:r>
          <a:r>
            <a:rPr lang="en-US" sz="1300" b="1">
              <a:solidFill>
                <a:srgbClr val="C00000"/>
              </a:solidFill>
              <a:effectLst/>
              <a:latin typeface="Segoe UI" panose="020B0502040204020203" pitchFamily="34" charset="0"/>
              <a:cs typeface="Segoe UI" panose="020B0502040204020203" pitchFamily="34" charset="0"/>
            </a:rPr>
            <a:t>US-Central lowest</a:t>
          </a:r>
          <a:r>
            <a:rPr lang="en-US" sz="1300">
              <a:solidFill>
                <a:schemeClr val="bg2">
                  <a:lumMod val="50000"/>
                </a:schemeClr>
              </a:solidFill>
              <a:effectLst/>
              <a:latin typeface="Segoe UI" panose="020B0502040204020203" pitchFamily="34" charset="0"/>
              <a:cs typeface="Segoe UI" panose="020B0502040204020203" pitchFamily="34" charset="0"/>
            </a:rPr>
            <a:t>.</a:t>
          </a:r>
        </a:p>
        <a:p>
          <a:pPr lvl="0"/>
          <a:r>
            <a:rPr lang="en-US" sz="1300">
              <a:solidFill>
                <a:schemeClr val="bg2">
                  <a:lumMod val="50000"/>
                </a:schemeClr>
              </a:solidFill>
              <a:effectLst/>
              <a:latin typeface="Segoe UI" panose="020B0502040204020203" pitchFamily="34" charset="0"/>
              <a:ea typeface="+mn-ea"/>
              <a:cs typeface="Segoe UI" panose="020B0502040204020203" pitchFamily="34" charset="0"/>
            </a:rPr>
            <a:t>• </a:t>
          </a:r>
          <a:r>
            <a:rPr lang="en-US" sz="1300" b="1">
              <a:solidFill>
                <a:srgbClr val="2E7D32"/>
              </a:solidFill>
              <a:effectLst/>
              <a:latin typeface="Segoe UI" panose="020B0502040204020203" pitchFamily="34" charset="0"/>
              <a:ea typeface="+mn-ea"/>
              <a:cs typeface="Segoe UI" panose="020B0502040204020203" pitchFamily="34" charset="0"/>
            </a:rPr>
            <a:t>US-West</a:t>
          </a:r>
          <a:r>
            <a:rPr lang="en-US" sz="1300" baseline="0">
              <a:solidFill>
                <a:schemeClr val="accent4">
                  <a:lumMod val="60000"/>
                  <a:lumOff val="40000"/>
                </a:schemeClr>
              </a:solidFill>
              <a:effectLst/>
              <a:latin typeface="Segoe UI" panose="020B0502040204020203" pitchFamily="34" charset="0"/>
              <a:ea typeface="+mn-ea"/>
              <a:cs typeface="Segoe UI" panose="020B0502040204020203" pitchFamily="34" charset="0"/>
            </a:rPr>
            <a:t> </a:t>
          </a:r>
          <a:r>
            <a:rPr lang="en-US" sz="1300" baseline="0">
              <a:solidFill>
                <a:schemeClr val="bg2">
                  <a:lumMod val="50000"/>
                </a:schemeClr>
              </a:solidFill>
              <a:effectLst/>
              <a:latin typeface="Segoe UI" panose="020B0502040204020203" pitchFamily="34" charset="0"/>
              <a:ea typeface="+mn-ea"/>
              <a:cs typeface="Segoe UI" panose="020B0502040204020203" pitchFamily="34" charset="0"/>
            </a:rPr>
            <a:t>and </a:t>
          </a:r>
          <a:r>
            <a:rPr lang="en-US" sz="1300" b="1" baseline="0">
              <a:solidFill>
                <a:srgbClr val="2E7D32"/>
              </a:solidFill>
              <a:effectLst/>
              <a:latin typeface="Segoe UI" panose="020B0502040204020203" pitchFamily="34" charset="0"/>
              <a:ea typeface="+mn-ea"/>
              <a:cs typeface="Segoe UI" panose="020B0502040204020203" pitchFamily="34" charset="0"/>
            </a:rPr>
            <a:t>US-South</a:t>
          </a:r>
          <a:r>
            <a:rPr lang="en-US" sz="1300" baseline="0">
              <a:solidFill>
                <a:schemeClr val="bg2">
                  <a:lumMod val="50000"/>
                </a:schemeClr>
              </a:solidFill>
              <a:effectLst/>
              <a:latin typeface="Segoe UI" panose="020B0502040204020203" pitchFamily="34" charset="0"/>
              <a:ea typeface="+mn-ea"/>
              <a:cs typeface="Segoe UI" panose="020B0502040204020203" pitchFamily="34" charset="0"/>
            </a:rPr>
            <a:t> carry the volume.</a:t>
          </a:r>
          <a:endParaRPr lang="en-US" sz="1300">
            <a:solidFill>
              <a:schemeClr val="bg2">
                <a:lumMod val="50000"/>
              </a:schemeClr>
            </a:solidFill>
            <a:effectLst/>
            <a:latin typeface="Segoe UI" panose="020B0502040204020203" pitchFamily="34" charset="0"/>
            <a:cs typeface="Segoe UI" panose="020B0502040204020203" pitchFamily="34" charset="0"/>
          </a:endParaRPr>
        </a:p>
        <a:p>
          <a:pPr lvl="0"/>
          <a:r>
            <a:rPr lang="en-US" sz="1300">
              <a:solidFill>
                <a:schemeClr val="bg2">
                  <a:lumMod val="50000"/>
                </a:schemeClr>
              </a:solidFill>
              <a:effectLst/>
              <a:latin typeface="Segoe UI" panose="020B0502040204020203" pitchFamily="34" charset="0"/>
              <a:ea typeface="+mn-ea"/>
              <a:cs typeface="Segoe UI" panose="020B0502040204020203" pitchFamily="34" charset="0"/>
            </a:rPr>
            <a:t>• </a:t>
          </a:r>
          <a:r>
            <a:rPr lang="en-US" sz="1300">
              <a:solidFill>
                <a:schemeClr val="bg2">
                  <a:lumMod val="50000"/>
                </a:schemeClr>
              </a:solidFill>
              <a:latin typeface="Segoe UI" panose="020B0502040204020203" pitchFamily="34" charset="0"/>
              <a:cs typeface="Segoe UI" panose="020B0502040204020203" pitchFamily="34" charset="0"/>
            </a:rPr>
            <a:t>Warehouse on-time rate varies (81.3% - 86%): </a:t>
          </a:r>
          <a:r>
            <a:rPr lang="en-US" sz="1300" b="1">
              <a:solidFill>
                <a:schemeClr val="bg2">
                  <a:lumMod val="50000"/>
                </a:schemeClr>
              </a:solidFill>
              <a:latin typeface="Segoe UI" panose="020B0502040204020203" pitchFamily="34" charset="0"/>
              <a:cs typeface="Segoe UI" panose="020B0502040204020203" pitchFamily="34" charset="0"/>
            </a:rPr>
            <a:t>Newark</a:t>
          </a:r>
          <a:r>
            <a:rPr lang="en-US" sz="1300">
              <a:solidFill>
                <a:schemeClr val="bg2">
                  <a:lumMod val="50000"/>
                </a:schemeClr>
              </a:solidFill>
              <a:latin typeface="Segoe UI" panose="020B0502040204020203" pitchFamily="34" charset="0"/>
              <a:cs typeface="Segoe UI" panose="020B0502040204020203" pitchFamily="34" charset="0"/>
            </a:rPr>
            <a:t> highest on‑time, </a:t>
          </a:r>
          <a:r>
            <a:rPr lang="en-US" sz="1300" b="1">
              <a:solidFill>
                <a:srgbClr val="C00000"/>
              </a:solidFill>
              <a:latin typeface="Segoe UI" panose="020B0502040204020203" pitchFamily="34" charset="0"/>
              <a:cs typeface="Segoe UI" panose="020B0502040204020203" pitchFamily="34" charset="0"/>
            </a:rPr>
            <a:t>Tacoma</a:t>
          </a:r>
          <a:r>
            <a:rPr lang="en-US" sz="1300">
              <a:solidFill>
                <a:srgbClr val="C00000"/>
              </a:solidFill>
              <a:latin typeface="Segoe UI" panose="020B0502040204020203" pitchFamily="34" charset="0"/>
              <a:cs typeface="Segoe UI" panose="020B0502040204020203" pitchFamily="34" charset="0"/>
            </a:rPr>
            <a:t> </a:t>
          </a:r>
          <a:r>
            <a:rPr lang="en-US" sz="1300">
              <a:solidFill>
                <a:schemeClr val="bg2">
                  <a:lumMod val="50000"/>
                </a:schemeClr>
              </a:solidFill>
              <a:latin typeface="Segoe UI" panose="020B0502040204020203" pitchFamily="34" charset="0"/>
              <a:cs typeface="Segoe UI" panose="020B0502040204020203" pitchFamily="34" charset="0"/>
            </a:rPr>
            <a:t>highest breach rate.</a:t>
          </a:r>
        </a:p>
      </xdr:txBody>
    </xdr:sp>
    <xdr:clientData/>
  </xdr:oneCellAnchor>
  <xdr:twoCellAnchor>
    <xdr:from>
      <xdr:col>1</xdr:col>
      <xdr:colOff>49447</xdr:colOff>
      <xdr:row>89</xdr:row>
      <xdr:rowOff>35983</xdr:rowOff>
    </xdr:from>
    <xdr:to>
      <xdr:col>21</xdr:col>
      <xdr:colOff>0</xdr:colOff>
      <xdr:row>93</xdr:row>
      <xdr:rowOff>137583</xdr:rowOff>
    </xdr:to>
    <xdr:sp macro="" textlink="">
      <xdr:nvSpPr>
        <xdr:cNvPr id="43" name="Rectangle: Rounded Corners 42">
          <a:extLst>
            <a:ext uri="{FF2B5EF4-FFF2-40B4-BE49-F238E27FC236}">
              <a16:creationId xmlns:a16="http://schemas.microsoft.com/office/drawing/2014/main" id="{BCE6211B-0C3E-4C71-B150-D8DE9435BB99}"/>
            </a:ext>
          </a:extLst>
        </xdr:cNvPr>
        <xdr:cNvSpPr/>
      </xdr:nvSpPr>
      <xdr:spPr>
        <a:xfrm rot="10800000" flipV="1">
          <a:off x="229364" y="21266150"/>
          <a:ext cx="12888865" cy="1032933"/>
        </a:xfrm>
        <a:prstGeom prst="roundRect">
          <a:avLst/>
        </a:prstGeom>
        <a:solidFill>
          <a:schemeClr val="bg1"/>
        </a:solidFill>
        <a:ln>
          <a:noFill/>
        </a:ln>
        <a:effectLst>
          <a:outerShdw blurRad="1270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BA7517"/>
              </a:solidFill>
              <a:latin typeface="Segoe UI" panose="020B0502040204020203" pitchFamily="34" charset="0"/>
              <a:cs typeface="Segoe UI" panose="020B0502040204020203" pitchFamily="34" charset="0"/>
            </a:rPr>
            <a:t>📌</a:t>
          </a:r>
          <a:r>
            <a:rPr lang="en-US" sz="1300" b="1">
              <a:solidFill>
                <a:srgbClr val="BA7517"/>
              </a:solidFill>
              <a:latin typeface="Segoe UI" panose="020B0502040204020203" pitchFamily="34" charset="0"/>
              <a:cs typeface="Segoe UI" panose="020B0502040204020203" pitchFamily="34" charset="0"/>
            </a:rPr>
            <a:t> Key Insight</a:t>
          </a:r>
        </a:p>
      </xdr:txBody>
    </xdr:sp>
    <xdr:clientData/>
  </xdr:twoCellAnchor>
  <xdr:oneCellAnchor>
    <xdr:from>
      <xdr:col>1</xdr:col>
      <xdr:colOff>443442</xdr:colOff>
      <xdr:row>89</xdr:row>
      <xdr:rowOff>105834</xdr:rowOff>
    </xdr:from>
    <xdr:ext cx="12266767" cy="1111248"/>
    <xdr:sp macro="" textlink="">
      <xdr:nvSpPr>
        <xdr:cNvPr id="44" name="TextBox 43">
          <a:extLst>
            <a:ext uri="{FF2B5EF4-FFF2-40B4-BE49-F238E27FC236}">
              <a16:creationId xmlns:a16="http://schemas.microsoft.com/office/drawing/2014/main" id="{13FA0858-2608-4504-8E22-E68B9DD94B3B}"/>
            </a:ext>
          </a:extLst>
        </xdr:cNvPr>
        <xdr:cNvSpPr txBox="1"/>
      </xdr:nvSpPr>
      <xdr:spPr>
        <a:xfrm>
          <a:off x="623359" y="21336001"/>
          <a:ext cx="12266767" cy="1111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lvl="0"/>
          <a:r>
            <a:rPr lang="en-US" sz="1300">
              <a:solidFill>
                <a:schemeClr val="bg2">
                  <a:lumMod val="50000"/>
                </a:schemeClr>
              </a:solidFill>
              <a:effectLst/>
              <a:latin typeface="Segoe UI" panose="020B0502040204020203" pitchFamily="34" charset="0"/>
              <a:ea typeface="+mn-ea"/>
              <a:cs typeface="Segoe UI" panose="020B0502040204020203" pitchFamily="34" charset="0"/>
            </a:rPr>
            <a:t>• </a:t>
          </a:r>
          <a:r>
            <a:rPr lang="en-US" sz="1300" b="1">
              <a:solidFill>
                <a:schemeClr val="bg2">
                  <a:lumMod val="50000"/>
                </a:schemeClr>
              </a:solidFill>
              <a:latin typeface="Segoe UI" panose="020B0502040204020203" pitchFamily="34" charset="0"/>
              <a:cs typeface="Segoe UI" panose="020B0502040204020203" pitchFamily="34" charset="0"/>
            </a:rPr>
            <a:t>56.7%</a:t>
          </a:r>
          <a:r>
            <a:rPr lang="en-US" sz="1300">
              <a:solidFill>
                <a:schemeClr val="bg2">
                  <a:lumMod val="50000"/>
                </a:schemeClr>
              </a:solidFill>
              <a:latin typeface="Segoe UI" panose="020B0502040204020203" pitchFamily="34" charset="0"/>
              <a:cs typeface="Segoe UI" panose="020B0502040204020203" pitchFamily="34" charset="0"/>
            </a:rPr>
            <a:t> on time; </a:t>
          </a:r>
          <a:r>
            <a:rPr lang="en-US" sz="1300" b="1">
              <a:solidFill>
                <a:schemeClr val="bg2">
                  <a:lumMod val="50000"/>
                </a:schemeClr>
              </a:solidFill>
              <a:latin typeface="Segoe UI" panose="020B0502040204020203" pitchFamily="34" charset="0"/>
              <a:cs typeface="Segoe UI" panose="020B0502040204020203" pitchFamily="34" charset="0"/>
            </a:rPr>
            <a:t>17%</a:t>
          </a:r>
          <a:r>
            <a:rPr lang="en-US" sz="1300">
              <a:solidFill>
                <a:schemeClr val="bg2">
                  <a:lumMod val="50000"/>
                </a:schemeClr>
              </a:solidFill>
              <a:latin typeface="Segoe UI" panose="020B0502040204020203" pitchFamily="34" charset="0"/>
              <a:cs typeface="Segoe UI" panose="020B0502040204020203" pitchFamily="34" charset="0"/>
            </a:rPr>
            <a:t> late by 1+ days.</a:t>
          </a:r>
          <a:r>
            <a:rPr lang="en-US" sz="1300" baseline="0">
              <a:solidFill>
                <a:schemeClr val="bg2">
                  <a:lumMod val="50000"/>
                </a:schemeClr>
              </a:solidFill>
              <a:latin typeface="Segoe UI" panose="020B0502040204020203" pitchFamily="34" charset="0"/>
              <a:cs typeface="Segoe UI" panose="020B0502040204020203" pitchFamily="34" charset="0"/>
            </a:rPr>
            <a:t> </a:t>
          </a:r>
          <a:r>
            <a:rPr lang="en-US" sz="1300">
              <a:solidFill>
                <a:schemeClr val="bg2">
                  <a:lumMod val="50000"/>
                </a:schemeClr>
              </a:solidFill>
              <a:latin typeface="Segoe UI" panose="020B0502040204020203" pitchFamily="34" charset="0"/>
              <a:cs typeface="Segoe UI" panose="020B0502040204020203" pitchFamily="34" charset="0"/>
            </a:rPr>
            <a:t>Most delays are </a:t>
          </a:r>
          <a:r>
            <a:rPr lang="en-US" sz="1300" b="1">
              <a:solidFill>
                <a:schemeClr val="bg2">
                  <a:lumMod val="50000"/>
                </a:schemeClr>
              </a:solidFill>
              <a:latin typeface="Segoe UI" panose="020B0502040204020203" pitchFamily="34" charset="0"/>
              <a:cs typeface="Segoe UI" panose="020B0502040204020203" pitchFamily="34" charset="0"/>
            </a:rPr>
            <a:t>1 day late</a:t>
          </a:r>
          <a:r>
            <a:rPr lang="en-US" sz="1300">
              <a:solidFill>
                <a:schemeClr val="bg2">
                  <a:lumMod val="50000"/>
                </a:schemeClr>
              </a:solidFill>
              <a:latin typeface="Segoe UI" panose="020B0502040204020203" pitchFamily="34" charset="0"/>
              <a:cs typeface="Segoe UI" panose="020B0502040204020203" pitchFamily="34" charset="0"/>
            </a:rPr>
            <a:t>; small share </a:t>
          </a:r>
          <a:r>
            <a:rPr lang="en-US" sz="1300" b="1">
              <a:solidFill>
                <a:schemeClr val="bg2">
                  <a:lumMod val="50000"/>
                </a:schemeClr>
              </a:solidFill>
              <a:latin typeface="Segoe UI" panose="020B0502040204020203" pitchFamily="34" charset="0"/>
              <a:cs typeface="Segoe UI" panose="020B0502040204020203" pitchFamily="34" charset="0"/>
            </a:rPr>
            <a:t>of 3+ day delays (~3% combined) </a:t>
          </a:r>
          <a:r>
            <a:rPr lang="en-US" sz="1300">
              <a:solidFill>
                <a:schemeClr val="bg2">
                  <a:lumMod val="50000"/>
                </a:schemeClr>
              </a:solidFill>
              <a:latin typeface="Segoe UI" panose="020B0502040204020203" pitchFamily="34" charset="0"/>
              <a:cs typeface="Segoe UI" panose="020B0502040204020203" pitchFamily="34" charset="0"/>
            </a:rPr>
            <a:t>drives penalties.</a:t>
          </a:r>
        </a:p>
        <a:p>
          <a:pPr lvl="0"/>
          <a:r>
            <a:rPr lang="en-US" sz="1300">
              <a:solidFill>
                <a:schemeClr val="bg2">
                  <a:lumMod val="50000"/>
                </a:schemeClr>
              </a:solidFill>
              <a:effectLst/>
              <a:latin typeface="Segoe UI" panose="020B0502040204020203" pitchFamily="34" charset="0"/>
              <a:ea typeface="+mn-ea"/>
              <a:cs typeface="Segoe UI" panose="020B0502040204020203" pitchFamily="34" charset="0"/>
            </a:rPr>
            <a:t>• 1</a:t>
          </a:r>
          <a:r>
            <a:rPr lang="en-US" sz="1300" baseline="0">
              <a:solidFill>
                <a:schemeClr val="bg2">
                  <a:lumMod val="50000"/>
                </a:schemeClr>
              </a:solidFill>
              <a:effectLst/>
              <a:latin typeface="Segoe UI" panose="020B0502040204020203" pitchFamily="34" charset="0"/>
              <a:ea typeface="+mn-ea"/>
              <a:cs typeface="Segoe UI" panose="020B0502040204020203" pitchFamily="34" charset="0"/>
            </a:rPr>
            <a:t> day of promise-window buffer closes nearly the whole gap</a:t>
          </a:r>
          <a:r>
            <a:rPr lang="en-US" sz="1300" b="1" baseline="0">
              <a:solidFill>
                <a:schemeClr val="bg2">
                  <a:lumMod val="50000"/>
                </a:schemeClr>
              </a:solidFill>
              <a:effectLst/>
              <a:latin typeface="Segoe UI" panose="020B0502040204020203" pitchFamily="34" charset="0"/>
              <a:ea typeface="+mn-ea"/>
              <a:cs typeface="Segoe UI" panose="020B0502040204020203" pitchFamily="34" charset="0"/>
            </a:rPr>
            <a:t>: 83.5% </a:t>
          </a:r>
          <a:r>
            <a:rPr lang="en-US" sz="1300" b="1">
              <a:solidFill>
                <a:schemeClr val="bg2">
                  <a:lumMod val="50000"/>
                </a:schemeClr>
              </a:solidFill>
              <a:effectLst/>
              <a:latin typeface="Segoe UI" panose="020B0502040204020203" pitchFamily="34" charset="0"/>
              <a:ea typeface="+mn-ea"/>
              <a:cs typeface="Segoe UI" panose="020B0502040204020203" pitchFamily="34" charset="0"/>
            </a:rPr>
            <a:t>→</a:t>
          </a:r>
          <a:r>
            <a:rPr lang="en-US" sz="1300" b="1" baseline="0">
              <a:solidFill>
                <a:schemeClr val="bg2">
                  <a:lumMod val="50000"/>
                </a:schemeClr>
              </a:solidFill>
              <a:effectLst/>
              <a:latin typeface="Segoe UI" panose="020B0502040204020203" pitchFamily="34" charset="0"/>
              <a:ea typeface="+mn-ea"/>
              <a:cs typeface="Segoe UI" panose="020B0502040204020203" pitchFamily="34" charset="0"/>
            </a:rPr>
            <a:t> 92.6% </a:t>
          </a:r>
          <a:r>
            <a:rPr lang="en-US" sz="1300" baseline="0">
              <a:solidFill>
                <a:schemeClr val="bg2">
                  <a:lumMod val="50000"/>
                </a:schemeClr>
              </a:solidFill>
              <a:effectLst/>
              <a:latin typeface="Segoe UI" panose="020B0502040204020203" pitchFamily="34" charset="0"/>
              <a:ea typeface="+mn-ea"/>
              <a:cs typeface="Segoe UI" panose="020B0502040204020203" pitchFamily="34" charset="0"/>
            </a:rPr>
            <a:t>compliance; modeled penalty exposure reduced by </a:t>
          </a:r>
          <a:r>
            <a:rPr lang="en-US" sz="1300" b="1" baseline="0">
              <a:solidFill>
                <a:schemeClr val="bg2">
                  <a:lumMod val="50000"/>
                </a:schemeClr>
              </a:solidFill>
              <a:effectLst/>
              <a:latin typeface="Segoe UI" panose="020B0502040204020203" pitchFamily="34" charset="0"/>
              <a:ea typeface="+mn-ea"/>
              <a:cs typeface="Segoe UI" panose="020B0502040204020203" pitchFamily="34" charset="0"/>
            </a:rPr>
            <a:t>57% (</a:t>
          </a:r>
          <a:r>
            <a:rPr lang="en-US" sz="1300" b="1">
              <a:solidFill>
                <a:schemeClr val="bg2">
                  <a:lumMod val="50000"/>
                </a:schemeClr>
              </a:solidFill>
              <a:effectLst/>
              <a:latin typeface="Segoe UI" panose="020B0502040204020203" pitchFamily="34" charset="0"/>
              <a:ea typeface="+mn-ea"/>
              <a:cs typeface="Segoe UI" panose="020B0502040204020203" pitchFamily="34" charset="0"/>
            </a:rPr>
            <a:t>$21,600 → $9,225)</a:t>
          </a:r>
          <a:endParaRPr lang="en-US" sz="1300">
            <a:solidFill>
              <a:schemeClr val="bg2">
                <a:lumMod val="50000"/>
              </a:schemeClr>
            </a:solidFill>
            <a:effectLst/>
            <a:latin typeface="Segoe UI" panose="020B0502040204020203" pitchFamily="34" charset="0"/>
            <a:ea typeface="+mn-ea"/>
            <a:cs typeface="Segoe UI" panose="020B0502040204020203" pitchFamily="34" charset="0"/>
          </a:endParaRPr>
        </a:p>
      </xdr:txBody>
    </xdr:sp>
    <xdr:clientData/>
  </xdr:oneCellAnchor>
  <xdr:twoCellAnchor>
    <xdr:from>
      <xdr:col>1</xdr:col>
      <xdr:colOff>74084</xdr:colOff>
      <xdr:row>96</xdr:row>
      <xdr:rowOff>286810</xdr:rowOff>
    </xdr:from>
    <xdr:to>
      <xdr:col>2</xdr:col>
      <xdr:colOff>459318</xdr:colOff>
      <xdr:row>98</xdr:row>
      <xdr:rowOff>243417</xdr:rowOff>
    </xdr:to>
    <xdr:sp macro="" textlink="">
      <xdr:nvSpPr>
        <xdr:cNvPr id="46" name="Rectangle: Rounded Corners 45">
          <a:extLst>
            <a:ext uri="{FF2B5EF4-FFF2-40B4-BE49-F238E27FC236}">
              <a16:creationId xmlns:a16="http://schemas.microsoft.com/office/drawing/2014/main" id="{876A8BB8-CF82-4691-A2EB-16FDAD251FA4}"/>
            </a:ext>
          </a:extLst>
        </xdr:cNvPr>
        <xdr:cNvSpPr/>
      </xdr:nvSpPr>
      <xdr:spPr>
        <a:xfrm>
          <a:off x="254001" y="23125643"/>
          <a:ext cx="914400" cy="369357"/>
        </a:xfrm>
        <a:prstGeom prst="roundRect">
          <a:avLst/>
        </a:prstGeom>
        <a:solidFill>
          <a:schemeClr val="bg1"/>
        </a:solidFill>
        <a:ln>
          <a:noFill/>
        </a:ln>
        <a:effectLst>
          <a:outerShdw blurRad="1270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chemeClr val="bg2">
                  <a:lumMod val="25000"/>
                </a:schemeClr>
              </a:solidFill>
              <a:latin typeface="Segoe UI" panose="020B0502040204020203" pitchFamily="34" charset="0"/>
              <a:cs typeface="Segoe UI" panose="020B0502040204020203" pitchFamily="34" charset="0"/>
            </a:rPr>
            <a:t>Priority</a:t>
          </a:r>
        </a:p>
      </xdr:txBody>
    </xdr:sp>
    <xdr:clientData/>
  </xdr:twoCellAnchor>
  <xdr:twoCellAnchor editAs="absolute">
    <xdr:from>
      <xdr:col>2</xdr:col>
      <xdr:colOff>571500</xdr:colOff>
      <xdr:row>96</xdr:row>
      <xdr:rowOff>232834</xdr:rowOff>
    </xdr:from>
    <xdr:to>
      <xdr:col>8</xdr:col>
      <xdr:colOff>482600</xdr:colOff>
      <xdr:row>98</xdr:row>
      <xdr:rowOff>277284</xdr:rowOff>
    </xdr:to>
    <mc:AlternateContent xmlns:mc="http://schemas.openxmlformats.org/markup-compatibility/2006">
      <mc:Choice xmlns:sle15="http://schemas.microsoft.com/office/drawing/2012/slicer" Requires="sle15">
        <xdr:graphicFrame macro="">
          <xdr:nvGraphicFramePr>
            <xdr:cNvPr id="51" name="Priority 1">
              <a:extLst>
                <a:ext uri="{FF2B5EF4-FFF2-40B4-BE49-F238E27FC236}">
                  <a16:creationId xmlns:a16="http://schemas.microsoft.com/office/drawing/2014/main" id="{7402944A-6A68-40D2-842F-A88BC131D818}"/>
                </a:ext>
              </a:extLst>
            </xdr:cNvPr>
            <xdr:cNvGraphicFramePr/>
          </xdr:nvGraphicFramePr>
          <xdr:xfrm>
            <a:off x="0" y="0"/>
            <a:ext cx="0" cy="0"/>
          </xdr:xfrm>
          <a:graphic>
            <a:graphicData uri="http://schemas.microsoft.com/office/drawing/2010/slicer">
              <sle:slicer xmlns:sle="http://schemas.microsoft.com/office/drawing/2010/slicer" name="Priority 1"/>
            </a:graphicData>
          </a:graphic>
        </xdr:graphicFrame>
      </mc:Choice>
      <mc:Fallback>
        <xdr:sp macro="" textlink="">
          <xdr:nvSpPr>
            <xdr:cNvPr id="0" name=""/>
            <xdr:cNvSpPr>
              <a:spLocks noTextEdit="1"/>
            </xdr:cNvSpPr>
          </xdr:nvSpPr>
          <xdr:spPr>
            <a:xfrm>
              <a:off x="1778000" y="22699134"/>
              <a:ext cx="9144000" cy="4508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74084</xdr:colOff>
      <xdr:row>99</xdr:row>
      <xdr:rowOff>44134</xdr:rowOff>
    </xdr:from>
    <xdr:to>
      <xdr:col>2</xdr:col>
      <xdr:colOff>459318</xdr:colOff>
      <xdr:row>101</xdr:row>
      <xdr:rowOff>102977</xdr:rowOff>
    </xdr:to>
    <xdr:sp macro="" textlink="">
      <xdr:nvSpPr>
        <xdr:cNvPr id="52" name="Rectangle: Rounded Corners 51">
          <a:extLst>
            <a:ext uri="{FF2B5EF4-FFF2-40B4-BE49-F238E27FC236}">
              <a16:creationId xmlns:a16="http://schemas.microsoft.com/office/drawing/2014/main" id="{CA175F00-C423-461D-9319-59A3A8B06B64}"/>
            </a:ext>
          </a:extLst>
        </xdr:cNvPr>
        <xdr:cNvSpPr/>
      </xdr:nvSpPr>
      <xdr:spPr>
        <a:xfrm>
          <a:off x="254001" y="23729634"/>
          <a:ext cx="914400" cy="365760"/>
        </a:xfrm>
        <a:prstGeom prst="roundRect">
          <a:avLst/>
        </a:prstGeom>
        <a:solidFill>
          <a:schemeClr val="bg1"/>
        </a:solidFill>
        <a:ln>
          <a:noFill/>
        </a:ln>
        <a:effectLst>
          <a:outerShdw blurRad="1270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chemeClr val="bg2">
                  <a:lumMod val="25000"/>
                </a:schemeClr>
              </a:solidFill>
              <a:latin typeface="Segoe UI" panose="020B0502040204020203" pitchFamily="34" charset="0"/>
              <a:cs typeface="Segoe UI" panose="020B0502040204020203" pitchFamily="34" charset="0"/>
            </a:rPr>
            <a:t>Area</a:t>
          </a:r>
        </a:p>
      </xdr:txBody>
    </xdr:sp>
    <xdr:clientData/>
  </xdr:twoCellAnchor>
  <xdr:twoCellAnchor editAs="absolute">
    <xdr:from>
      <xdr:col>2</xdr:col>
      <xdr:colOff>571500</xdr:colOff>
      <xdr:row>99</xdr:row>
      <xdr:rowOff>0</xdr:rowOff>
    </xdr:from>
    <xdr:to>
      <xdr:col>8</xdr:col>
      <xdr:colOff>482600</xdr:colOff>
      <xdr:row>101</xdr:row>
      <xdr:rowOff>150283</xdr:rowOff>
    </xdr:to>
    <mc:AlternateContent xmlns:mc="http://schemas.openxmlformats.org/markup-compatibility/2006">
      <mc:Choice xmlns:sle15="http://schemas.microsoft.com/office/drawing/2012/slicer" Requires="sle15">
        <xdr:graphicFrame macro="">
          <xdr:nvGraphicFramePr>
            <xdr:cNvPr id="53" name="Area 1">
              <a:extLst>
                <a:ext uri="{FF2B5EF4-FFF2-40B4-BE49-F238E27FC236}">
                  <a16:creationId xmlns:a16="http://schemas.microsoft.com/office/drawing/2014/main" id="{4E0EA07F-C011-43EB-B4D8-F5456041A49E}"/>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dr:sp macro="" textlink="">
          <xdr:nvSpPr>
            <xdr:cNvPr id="0" name=""/>
            <xdr:cNvSpPr>
              <a:spLocks noTextEdit="1"/>
            </xdr:cNvSpPr>
          </xdr:nvSpPr>
          <xdr:spPr>
            <a:xfrm>
              <a:off x="1778000" y="23304500"/>
              <a:ext cx="9144000" cy="45508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74084</xdr:colOff>
      <xdr:row>102</xdr:row>
      <xdr:rowOff>30694</xdr:rowOff>
    </xdr:from>
    <xdr:to>
      <xdr:col>2</xdr:col>
      <xdr:colOff>459318</xdr:colOff>
      <xdr:row>103</xdr:row>
      <xdr:rowOff>68370</xdr:rowOff>
    </xdr:to>
    <xdr:sp macro="" textlink="">
      <xdr:nvSpPr>
        <xdr:cNvPr id="54" name="Rectangle: Rounded Corners 53">
          <a:extLst>
            <a:ext uri="{FF2B5EF4-FFF2-40B4-BE49-F238E27FC236}">
              <a16:creationId xmlns:a16="http://schemas.microsoft.com/office/drawing/2014/main" id="{DF86FC92-44A3-4D57-9C7F-A8F5054EF8F0}"/>
            </a:ext>
          </a:extLst>
        </xdr:cNvPr>
        <xdr:cNvSpPr/>
      </xdr:nvSpPr>
      <xdr:spPr>
        <a:xfrm>
          <a:off x="254001" y="24330027"/>
          <a:ext cx="914400" cy="365760"/>
        </a:xfrm>
        <a:prstGeom prst="roundRect">
          <a:avLst/>
        </a:prstGeom>
        <a:solidFill>
          <a:schemeClr val="bg1"/>
        </a:solidFill>
        <a:ln>
          <a:noFill/>
        </a:ln>
        <a:effectLst>
          <a:outerShdw blurRad="1270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chemeClr val="bg2">
                  <a:lumMod val="25000"/>
                </a:schemeClr>
              </a:solidFill>
              <a:latin typeface="Segoe UI" panose="020B0502040204020203" pitchFamily="34" charset="0"/>
              <a:cs typeface="Segoe UI" panose="020B0502040204020203" pitchFamily="34" charset="0"/>
            </a:rPr>
            <a:t>Timeline</a:t>
          </a:r>
        </a:p>
      </xdr:txBody>
    </xdr:sp>
    <xdr:clientData/>
  </xdr:twoCellAnchor>
  <xdr:twoCellAnchor editAs="absolute">
    <xdr:from>
      <xdr:col>2</xdr:col>
      <xdr:colOff>571500</xdr:colOff>
      <xdr:row>102</xdr:row>
      <xdr:rowOff>0</xdr:rowOff>
    </xdr:from>
    <xdr:to>
      <xdr:col>8</xdr:col>
      <xdr:colOff>482600</xdr:colOff>
      <xdr:row>103</xdr:row>
      <xdr:rowOff>129116</xdr:rowOff>
    </xdr:to>
    <mc:AlternateContent xmlns:mc="http://schemas.openxmlformats.org/markup-compatibility/2006">
      <mc:Choice xmlns:sle15="http://schemas.microsoft.com/office/drawing/2012/slicer" Requires="sle15">
        <xdr:graphicFrame macro="">
          <xdr:nvGraphicFramePr>
            <xdr:cNvPr id="55" name="Timeline">
              <a:extLst>
                <a:ext uri="{FF2B5EF4-FFF2-40B4-BE49-F238E27FC236}">
                  <a16:creationId xmlns:a16="http://schemas.microsoft.com/office/drawing/2014/main" id="{D6FD43C1-C671-451C-AF41-97A9F17C1FBC}"/>
                </a:ext>
              </a:extLst>
            </xdr:cNvPr>
            <xdr:cNvGraphicFramePr/>
          </xdr:nvGraphicFramePr>
          <xdr:xfrm>
            <a:off x="0" y="0"/>
            <a:ext cx="0" cy="0"/>
          </xdr:xfrm>
          <a:graphic>
            <a:graphicData uri="http://schemas.microsoft.com/office/drawing/2010/slicer">
              <sle:slicer xmlns:sle="http://schemas.microsoft.com/office/drawing/2010/slicer" name="Timeline"/>
            </a:graphicData>
          </a:graphic>
        </xdr:graphicFrame>
      </mc:Choice>
      <mc:Fallback>
        <xdr:sp macro="" textlink="">
          <xdr:nvSpPr>
            <xdr:cNvPr id="0" name=""/>
            <xdr:cNvSpPr>
              <a:spLocks noTextEdit="1"/>
            </xdr:cNvSpPr>
          </xdr:nvSpPr>
          <xdr:spPr>
            <a:xfrm>
              <a:off x="1778000" y="23914100"/>
              <a:ext cx="9144000" cy="45931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11</xdr:col>
      <xdr:colOff>330200</xdr:colOff>
      <xdr:row>96</xdr:row>
      <xdr:rowOff>165100</xdr:rowOff>
    </xdr:from>
    <xdr:to>
      <xdr:col>21</xdr:col>
      <xdr:colOff>38100</xdr:colOff>
      <xdr:row>104</xdr:row>
      <xdr:rowOff>17780</xdr:rowOff>
    </xdr:to>
    <xdr:sp macro="" textlink="">
      <xdr:nvSpPr>
        <xdr:cNvPr id="58" name="Rectangle: Rounded Corners 57">
          <a:extLst>
            <a:ext uri="{FF2B5EF4-FFF2-40B4-BE49-F238E27FC236}">
              <a16:creationId xmlns:a16="http://schemas.microsoft.com/office/drawing/2014/main" id="{2B75AC16-A5B6-43B6-A1DC-77F8F1D48ED2}"/>
            </a:ext>
          </a:extLst>
        </xdr:cNvPr>
        <xdr:cNvSpPr/>
      </xdr:nvSpPr>
      <xdr:spPr>
        <a:xfrm>
          <a:off x="12369800" y="22631400"/>
          <a:ext cx="5194300" cy="2011680"/>
        </a:xfrm>
        <a:prstGeom prst="roundRect">
          <a:avLst/>
        </a:prstGeom>
        <a:solidFill>
          <a:srgbClr val="F8D7DA"/>
        </a:solidFill>
        <a:ln>
          <a:noFill/>
        </a:ln>
        <a:effectLst>
          <a:outerShdw blurRad="1270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700" b="1">
              <a:solidFill>
                <a:srgbClr val="A61B1B"/>
              </a:solidFill>
              <a:latin typeface="Segoe UI" panose="020B0502040204020203" pitchFamily="34" charset="0"/>
              <a:cs typeface="Segoe UI" panose="020B0502040204020203" pitchFamily="34" charset="0"/>
            </a:rPr>
            <a:t>🔴 Immediate Action </a:t>
          </a:r>
        </a:p>
      </xdr:txBody>
    </xdr:sp>
    <xdr:clientData/>
  </xdr:twoCellAnchor>
  <xdr:twoCellAnchor>
    <xdr:from>
      <xdr:col>11</xdr:col>
      <xdr:colOff>330708</xdr:colOff>
      <xdr:row>105</xdr:row>
      <xdr:rowOff>412750</xdr:rowOff>
    </xdr:from>
    <xdr:to>
      <xdr:col>21</xdr:col>
      <xdr:colOff>38100</xdr:colOff>
      <xdr:row>106</xdr:row>
      <xdr:rowOff>1027430</xdr:rowOff>
    </xdr:to>
    <xdr:sp macro="" textlink="">
      <xdr:nvSpPr>
        <xdr:cNvPr id="59" name="Rectangle: Rounded Corners 58">
          <a:extLst>
            <a:ext uri="{FF2B5EF4-FFF2-40B4-BE49-F238E27FC236}">
              <a16:creationId xmlns:a16="http://schemas.microsoft.com/office/drawing/2014/main" id="{1D16591D-52C9-47A0-881B-A87F5C6BB999}"/>
            </a:ext>
          </a:extLst>
        </xdr:cNvPr>
        <xdr:cNvSpPr/>
      </xdr:nvSpPr>
      <xdr:spPr>
        <a:xfrm>
          <a:off x="12370308" y="25304750"/>
          <a:ext cx="5193792" cy="2011680"/>
        </a:xfrm>
        <a:prstGeom prst="roundRect">
          <a:avLst/>
        </a:prstGeom>
        <a:solidFill>
          <a:srgbClr val="FCE8D5"/>
        </a:solidFill>
        <a:ln>
          <a:noFill/>
        </a:ln>
        <a:effectLst>
          <a:outerShdw blurRad="1270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700" b="1">
              <a:solidFill>
                <a:srgbClr val="BA7517"/>
              </a:solidFill>
              <a:latin typeface="Segoe UI" panose="020B0502040204020203" pitchFamily="34" charset="0"/>
              <a:cs typeface="Segoe UI" panose="020B0502040204020203" pitchFamily="34" charset="0"/>
            </a:rPr>
            <a:t>🟠 Operational Bottleneck </a:t>
          </a:r>
        </a:p>
      </xdr:txBody>
    </xdr:sp>
    <xdr:clientData/>
  </xdr:twoCellAnchor>
  <xdr:twoCellAnchor>
    <xdr:from>
      <xdr:col>11</xdr:col>
      <xdr:colOff>330708</xdr:colOff>
      <xdr:row>107</xdr:row>
      <xdr:rowOff>571500</xdr:rowOff>
    </xdr:from>
    <xdr:to>
      <xdr:col>21</xdr:col>
      <xdr:colOff>38100</xdr:colOff>
      <xdr:row>109</xdr:row>
      <xdr:rowOff>805180</xdr:rowOff>
    </xdr:to>
    <xdr:sp macro="" textlink="">
      <xdr:nvSpPr>
        <xdr:cNvPr id="60" name="Rectangle: Rounded Corners 59">
          <a:extLst>
            <a:ext uri="{FF2B5EF4-FFF2-40B4-BE49-F238E27FC236}">
              <a16:creationId xmlns:a16="http://schemas.microsoft.com/office/drawing/2014/main" id="{01771DE7-BEFD-4E26-BB46-2962DE1F5BCF}"/>
            </a:ext>
          </a:extLst>
        </xdr:cNvPr>
        <xdr:cNvSpPr/>
      </xdr:nvSpPr>
      <xdr:spPr>
        <a:xfrm>
          <a:off x="12370308" y="27952700"/>
          <a:ext cx="5193792" cy="2011680"/>
        </a:xfrm>
        <a:prstGeom prst="roundRect">
          <a:avLst/>
        </a:prstGeom>
        <a:solidFill>
          <a:srgbClr val="DFF3E3"/>
        </a:solidFill>
        <a:ln>
          <a:noFill/>
        </a:ln>
        <a:effectLst>
          <a:outerShdw blurRad="1270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700" b="1">
              <a:solidFill>
                <a:srgbClr val="2E7D32"/>
              </a:solidFill>
              <a:latin typeface="Segoe UI" panose="020B0502040204020203" pitchFamily="34" charset="0"/>
              <a:cs typeface="Segoe UI" panose="020B0502040204020203" pitchFamily="34" charset="0"/>
            </a:rPr>
            <a:t>🟢 Positive Trend </a:t>
          </a:r>
        </a:p>
      </xdr:txBody>
    </xdr:sp>
    <xdr:clientData/>
  </xdr:twoCellAnchor>
  <xdr:oneCellAnchor>
    <xdr:from>
      <xdr:col>12</xdr:col>
      <xdr:colOff>95251</xdr:colOff>
      <xdr:row>98</xdr:row>
      <xdr:rowOff>165100</xdr:rowOff>
    </xdr:from>
    <xdr:ext cx="4648200" cy="1458536"/>
    <xdr:sp macro="" textlink="">
      <xdr:nvSpPr>
        <xdr:cNvPr id="61" name="TextBox 60">
          <a:extLst>
            <a:ext uri="{FF2B5EF4-FFF2-40B4-BE49-F238E27FC236}">
              <a16:creationId xmlns:a16="http://schemas.microsoft.com/office/drawing/2014/main" id="{51372DA2-39B6-C9CE-00B9-BBAE6C16915F}"/>
            </a:ext>
          </a:extLst>
        </xdr:cNvPr>
        <xdr:cNvSpPr txBox="1"/>
      </xdr:nvSpPr>
      <xdr:spPr>
        <a:xfrm>
          <a:off x="12668251" y="23037800"/>
          <a:ext cx="4648200" cy="14585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a:solidFill>
                <a:schemeClr val="bg2">
                  <a:lumMod val="25000"/>
                </a:schemeClr>
              </a:solidFill>
              <a:latin typeface="Segoe UI" panose="020B0502040204020203" pitchFamily="34" charset="0"/>
              <a:cs typeface="Segoe UI" panose="020B0502040204020203" pitchFamily="34" charset="0"/>
            </a:rPr>
            <a:t>RailLink Logistics </a:t>
          </a:r>
        </a:p>
        <a:p>
          <a:pPr algn="ctr"/>
          <a:r>
            <a:rPr lang="en-US" sz="1400">
              <a:solidFill>
                <a:schemeClr val="bg2">
                  <a:lumMod val="25000"/>
                </a:schemeClr>
              </a:solidFill>
              <a:latin typeface="Segoe UI" panose="020B0502040204020203" pitchFamily="34" charset="0"/>
              <a:cs typeface="Segoe UI" panose="020B0502040204020203" pitchFamily="34" charset="0"/>
            </a:rPr>
            <a:t>Lowest SLA Compliance Rate</a:t>
          </a:r>
        </a:p>
        <a:p>
          <a:pPr algn="ctr"/>
          <a:r>
            <a:rPr lang="en-US" sz="3600" b="1">
              <a:solidFill>
                <a:srgbClr val="333333"/>
              </a:solidFill>
              <a:latin typeface="Segoe UI" panose="020B0502040204020203" pitchFamily="34" charset="0"/>
              <a:cs typeface="Segoe UI" panose="020B0502040204020203" pitchFamily="34" charset="0"/>
            </a:rPr>
            <a:t>80.7%</a:t>
          </a:r>
        </a:p>
        <a:p>
          <a:pPr algn="ctr"/>
          <a:r>
            <a:rPr lang="en-US" sz="1400" i="1">
              <a:solidFill>
                <a:schemeClr val="bg2">
                  <a:lumMod val="25000"/>
                </a:schemeClr>
              </a:solidFill>
              <a:latin typeface="Segoe UI" panose="020B0502040204020203" pitchFamily="34" charset="0"/>
              <a:cs typeface="Segoe UI" panose="020B0502040204020203" pitchFamily="34" charset="0"/>
            </a:rPr>
            <a:t>Launch 90-day plan</a:t>
          </a:r>
        </a:p>
      </xdr:txBody>
    </xdr:sp>
    <xdr:clientData/>
  </xdr:oneCellAnchor>
  <xdr:oneCellAnchor>
    <xdr:from>
      <xdr:col>15</xdr:col>
      <xdr:colOff>482600</xdr:colOff>
      <xdr:row>102</xdr:row>
      <xdr:rowOff>25400</xdr:rowOff>
    </xdr:from>
    <xdr:ext cx="184731" cy="264560"/>
    <xdr:sp macro="" textlink="">
      <xdr:nvSpPr>
        <xdr:cNvPr id="62" name="TextBox 61">
          <a:extLst>
            <a:ext uri="{FF2B5EF4-FFF2-40B4-BE49-F238E27FC236}">
              <a16:creationId xmlns:a16="http://schemas.microsoft.com/office/drawing/2014/main" id="{5086C746-D1B7-B913-2778-B60858D638E1}"/>
            </a:ext>
          </a:extLst>
        </xdr:cNvPr>
        <xdr:cNvSpPr txBox="1"/>
      </xdr:nvSpPr>
      <xdr:spPr>
        <a:xfrm>
          <a:off x="14655800" y="23939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15</xdr:col>
      <xdr:colOff>88900</xdr:colOff>
      <xdr:row>102</xdr:row>
      <xdr:rowOff>101600</xdr:rowOff>
    </xdr:from>
    <xdr:ext cx="184731" cy="264560"/>
    <xdr:sp macro="" textlink="">
      <xdr:nvSpPr>
        <xdr:cNvPr id="63" name="TextBox 62">
          <a:extLst>
            <a:ext uri="{FF2B5EF4-FFF2-40B4-BE49-F238E27FC236}">
              <a16:creationId xmlns:a16="http://schemas.microsoft.com/office/drawing/2014/main" id="{747219A7-3875-6D44-6C7A-6C7964497D82}"/>
            </a:ext>
          </a:extLst>
        </xdr:cNvPr>
        <xdr:cNvSpPr txBox="1"/>
      </xdr:nvSpPr>
      <xdr:spPr>
        <a:xfrm>
          <a:off x="14262100" y="240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12</xdr:col>
      <xdr:colOff>95251</xdr:colOff>
      <xdr:row>105</xdr:row>
      <xdr:rowOff>762000</xdr:rowOff>
    </xdr:from>
    <xdr:ext cx="4648200" cy="1458536"/>
    <xdr:sp macro="" textlink="">
      <xdr:nvSpPr>
        <xdr:cNvPr id="64" name="TextBox 63">
          <a:extLst>
            <a:ext uri="{FF2B5EF4-FFF2-40B4-BE49-F238E27FC236}">
              <a16:creationId xmlns:a16="http://schemas.microsoft.com/office/drawing/2014/main" id="{D9DEF662-1141-40D4-8236-DA880E3BD162}"/>
            </a:ext>
          </a:extLst>
        </xdr:cNvPr>
        <xdr:cNvSpPr txBox="1"/>
      </xdr:nvSpPr>
      <xdr:spPr>
        <a:xfrm>
          <a:off x="12668251" y="25654000"/>
          <a:ext cx="4648200" cy="14585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a:solidFill>
                <a:schemeClr val="bg2">
                  <a:lumMod val="25000"/>
                </a:schemeClr>
              </a:solidFill>
              <a:latin typeface="Segoe UI" panose="020B0502040204020203" pitchFamily="34" charset="0"/>
              <a:cs typeface="Segoe UI" panose="020B0502040204020203" pitchFamily="34" charset="0"/>
            </a:rPr>
            <a:t>Tacoma Coastal</a:t>
          </a:r>
        </a:p>
        <a:p>
          <a:pPr algn="ctr"/>
          <a:r>
            <a:rPr lang="en-US" sz="1400">
              <a:solidFill>
                <a:schemeClr val="bg2">
                  <a:lumMod val="25000"/>
                </a:schemeClr>
              </a:solidFill>
              <a:latin typeface="Segoe UI" panose="020B0502040204020203" pitchFamily="34" charset="0"/>
              <a:cs typeface="Segoe UI" panose="020B0502040204020203" pitchFamily="34" charset="0"/>
            </a:rPr>
            <a:t>Highest Breach Rate</a:t>
          </a:r>
        </a:p>
        <a:p>
          <a:pPr algn="ctr"/>
          <a:r>
            <a:rPr lang="en-US" sz="3600" b="1">
              <a:solidFill>
                <a:srgbClr val="333333"/>
              </a:solidFill>
              <a:latin typeface="Segoe UI" panose="020B0502040204020203" pitchFamily="34" charset="0"/>
              <a:cs typeface="Segoe UI" panose="020B0502040204020203" pitchFamily="34" charset="0"/>
            </a:rPr>
            <a:t>11.6%</a:t>
          </a:r>
        </a:p>
        <a:p>
          <a:pPr algn="ctr"/>
          <a:r>
            <a:rPr lang="en-US" sz="1400" i="1">
              <a:solidFill>
                <a:schemeClr val="bg2">
                  <a:lumMod val="25000"/>
                </a:schemeClr>
              </a:solidFill>
              <a:latin typeface="Segoe UI" panose="020B0502040204020203" pitchFamily="34" charset="0"/>
              <a:cs typeface="Segoe UI" panose="020B0502040204020203" pitchFamily="34" charset="0"/>
            </a:rPr>
            <a:t>Run root cause review</a:t>
          </a:r>
        </a:p>
      </xdr:txBody>
    </xdr:sp>
    <xdr:clientData/>
  </xdr:oneCellAnchor>
  <xdr:oneCellAnchor>
    <xdr:from>
      <xdr:col>12</xdr:col>
      <xdr:colOff>95251</xdr:colOff>
      <xdr:row>108</xdr:row>
      <xdr:rowOff>0</xdr:rowOff>
    </xdr:from>
    <xdr:ext cx="4648200" cy="1663699"/>
    <xdr:sp macro="" textlink="">
      <xdr:nvSpPr>
        <xdr:cNvPr id="65" name="TextBox 64">
          <a:extLst>
            <a:ext uri="{FF2B5EF4-FFF2-40B4-BE49-F238E27FC236}">
              <a16:creationId xmlns:a16="http://schemas.microsoft.com/office/drawing/2014/main" id="{80A41091-F69B-41C7-A96D-CD6CFABCE371}"/>
            </a:ext>
          </a:extLst>
        </xdr:cNvPr>
        <xdr:cNvSpPr txBox="1"/>
      </xdr:nvSpPr>
      <xdr:spPr>
        <a:xfrm>
          <a:off x="12668251" y="28270200"/>
          <a:ext cx="4648200" cy="16636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a:solidFill>
                <a:schemeClr val="bg2">
                  <a:lumMod val="25000"/>
                </a:schemeClr>
              </a:solidFill>
              <a:latin typeface="Segoe UI" panose="020B0502040204020203" pitchFamily="34" charset="0"/>
              <a:cs typeface="Segoe UI" panose="020B0502040204020203" pitchFamily="34" charset="0"/>
            </a:rPr>
            <a:t>Jul-26</a:t>
          </a:r>
          <a:r>
            <a:rPr lang="en-US" sz="1400" baseline="0">
              <a:solidFill>
                <a:schemeClr val="bg2">
                  <a:lumMod val="25000"/>
                </a:schemeClr>
              </a:solidFill>
              <a:latin typeface="Segoe UI" panose="020B0502040204020203" pitchFamily="34" charset="0"/>
              <a:cs typeface="Segoe UI" panose="020B0502040204020203" pitchFamily="34" charset="0"/>
            </a:rPr>
            <a:t> Performance</a:t>
          </a:r>
          <a:endParaRPr lang="en-US" sz="1400">
            <a:solidFill>
              <a:schemeClr val="bg2">
                <a:lumMod val="25000"/>
              </a:schemeClr>
            </a:solidFill>
            <a:latin typeface="Segoe UI" panose="020B0502040204020203" pitchFamily="34" charset="0"/>
            <a:cs typeface="Segoe UI" panose="020B0502040204020203" pitchFamily="34" charset="0"/>
          </a:endParaRPr>
        </a:p>
        <a:p>
          <a:pPr algn="ctr"/>
          <a:r>
            <a:rPr lang="en-US" sz="3600" b="1">
              <a:solidFill>
                <a:srgbClr val="333333"/>
              </a:solidFill>
              <a:latin typeface="Segoe UI" panose="020B0502040204020203" pitchFamily="34" charset="0"/>
              <a:cs typeface="Segoe UI" panose="020B0502040204020203" pitchFamily="34" charset="0"/>
            </a:rPr>
            <a:t>92.3%</a:t>
          </a:r>
        </a:p>
        <a:p>
          <a:pPr algn="ctr"/>
          <a:r>
            <a:rPr lang="en-US" sz="1400" i="1">
              <a:solidFill>
                <a:schemeClr val="bg2">
                  <a:lumMod val="25000"/>
                </a:schemeClr>
              </a:solidFill>
              <a:latin typeface="Segoe UI" panose="020B0502040204020203" pitchFamily="34" charset="0"/>
              <a:cs typeface="Segoe UI" panose="020B0502040204020203" pitchFamily="34" charset="0"/>
            </a:rPr>
            <a:t>Standardize</a:t>
          </a:r>
          <a:r>
            <a:rPr lang="en-US" sz="1400" i="1" baseline="0">
              <a:solidFill>
                <a:schemeClr val="bg2">
                  <a:lumMod val="25000"/>
                </a:schemeClr>
              </a:solidFill>
              <a:latin typeface="Segoe UI" panose="020B0502040204020203" pitchFamily="34" charset="0"/>
              <a:cs typeface="Segoe UI" panose="020B0502040204020203" pitchFamily="34" charset="0"/>
            </a:rPr>
            <a:t> practices</a:t>
          </a:r>
          <a:endParaRPr lang="en-US" sz="1400" i="1">
            <a:solidFill>
              <a:schemeClr val="bg2">
                <a:lumMod val="25000"/>
              </a:schemeClr>
            </a:solidFill>
            <a:latin typeface="Segoe UI" panose="020B0502040204020203" pitchFamily="34" charset="0"/>
            <a:cs typeface="Segoe UI" panose="020B0502040204020203"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9525</xdr:colOff>
      <xdr:row>1</xdr:row>
      <xdr:rowOff>6350</xdr:rowOff>
    </xdr:from>
    <xdr:to>
      <xdr:col>9</xdr:col>
      <xdr:colOff>511175</xdr:colOff>
      <xdr:row>15</xdr:row>
      <xdr:rowOff>171450</xdr:rowOff>
    </xdr:to>
    <xdr:graphicFrame macro="">
      <xdr:nvGraphicFramePr>
        <xdr:cNvPr id="3" name="Chart 2">
          <a:extLst>
            <a:ext uri="{FF2B5EF4-FFF2-40B4-BE49-F238E27FC236}">
              <a16:creationId xmlns:a16="http://schemas.microsoft.com/office/drawing/2014/main" id="{8ED1B1BF-65C9-5825-08B6-3A2997679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18</xdr:row>
      <xdr:rowOff>0</xdr:rowOff>
    </xdr:from>
    <xdr:to>
      <xdr:col>10</xdr:col>
      <xdr:colOff>12700</xdr:colOff>
      <xdr:row>32</xdr:row>
      <xdr:rowOff>165100</xdr:rowOff>
    </xdr:to>
    <xdr:graphicFrame macro="">
      <xdr:nvGraphicFramePr>
        <xdr:cNvPr id="4" name="Chart 3">
          <a:extLst>
            <a:ext uri="{FF2B5EF4-FFF2-40B4-BE49-F238E27FC236}">
              <a16:creationId xmlns:a16="http://schemas.microsoft.com/office/drawing/2014/main" id="{37B75C78-0221-94B0-F22A-785BB00AB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712610</xdr:colOff>
      <xdr:row>47</xdr:row>
      <xdr:rowOff>184148</xdr:rowOff>
    </xdr:from>
    <xdr:to>
      <xdr:col>9</xdr:col>
      <xdr:colOff>345721</xdr:colOff>
      <xdr:row>64</xdr:row>
      <xdr:rowOff>176388</xdr:rowOff>
    </xdr:to>
    <xdr:graphicFrame macro="">
      <xdr:nvGraphicFramePr>
        <xdr:cNvPr id="2" name="Chart 1">
          <a:extLst>
            <a:ext uri="{FF2B5EF4-FFF2-40B4-BE49-F238E27FC236}">
              <a16:creationId xmlns:a16="http://schemas.microsoft.com/office/drawing/2014/main" id="{4C713631-9DF3-0608-A516-86640DB2A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592667</xdr:colOff>
      <xdr:row>66</xdr:row>
      <xdr:rowOff>205315</xdr:rowOff>
    </xdr:from>
    <xdr:to>
      <xdr:col>12</xdr:col>
      <xdr:colOff>84667</xdr:colOff>
      <xdr:row>83</xdr:row>
      <xdr:rowOff>91721</xdr:rowOff>
    </xdr:to>
    <xdr:graphicFrame macro="">
      <xdr:nvGraphicFramePr>
        <xdr:cNvPr id="6" name="Chart 5">
          <a:extLst>
            <a:ext uri="{FF2B5EF4-FFF2-40B4-BE49-F238E27FC236}">
              <a16:creationId xmlns:a16="http://schemas.microsoft.com/office/drawing/2014/main" id="{5AE97857-F569-5C16-F017-FF64FE62F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973666</xdr:colOff>
      <xdr:row>85</xdr:row>
      <xdr:rowOff>35983</xdr:rowOff>
    </xdr:from>
    <xdr:to>
      <xdr:col>7</xdr:col>
      <xdr:colOff>35277</xdr:colOff>
      <xdr:row>98</xdr:row>
      <xdr:rowOff>27517</xdr:rowOff>
    </xdr:to>
    <xdr:graphicFrame macro="">
      <xdr:nvGraphicFramePr>
        <xdr:cNvPr id="8" name="Chart 7">
          <a:extLst>
            <a:ext uri="{FF2B5EF4-FFF2-40B4-BE49-F238E27FC236}">
              <a16:creationId xmlns:a16="http://schemas.microsoft.com/office/drawing/2014/main" id="{A6E9F108-536E-D5E7-88AE-AC0B86384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642055</xdr:colOff>
      <xdr:row>100</xdr:row>
      <xdr:rowOff>191204</xdr:rowOff>
    </xdr:from>
    <xdr:to>
      <xdr:col>11</xdr:col>
      <xdr:colOff>338666</xdr:colOff>
      <xdr:row>115</xdr:row>
      <xdr:rowOff>119943</xdr:rowOff>
    </xdr:to>
    <xdr:graphicFrame macro="">
      <xdr:nvGraphicFramePr>
        <xdr:cNvPr id="9" name="Chart 8">
          <a:extLst>
            <a:ext uri="{FF2B5EF4-FFF2-40B4-BE49-F238E27FC236}">
              <a16:creationId xmlns:a16="http://schemas.microsoft.com/office/drawing/2014/main" id="{A2DC7696-BC4A-113B-AEF3-E3CE70EEE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22224</xdr:colOff>
      <xdr:row>11</xdr:row>
      <xdr:rowOff>50800</xdr:rowOff>
    </xdr:from>
    <xdr:to>
      <xdr:col>9</xdr:col>
      <xdr:colOff>400049</xdr:colOff>
      <xdr:row>18</xdr:row>
      <xdr:rowOff>146050</xdr:rowOff>
    </xdr:to>
    <xdr:sp macro="" textlink="">
      <xdr:nvSpPr>
        <xdr:cNvPr id="2" name="TextBox 1">
          <a:extLst>
            <a:ext uri="{FF2B5EF4-FFF2-40B4-BE49-F238E27FC236}">
              <a16:creationId xmlns:a16="http://schemas.microsoft.com/office/drawing/2014/main" id="{C3C2B9A1-2798-2A4F-1350-8063510C88D7}"/>
            </a:ext>
          </a:extLst>
        </xdr:cNvPr>
        <xdr:cNvSpPr txBox="1"/>
      </xdr:nvSpPr>
      <xdr:spPr>
        <a:xfrm>
          <a:off x="4270374" y="2076450"/>
          <a:ext cx="4575175" cy="138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latin typeface="+mn-lt"/>
              <a:ea typeface="+mn-ea"/>
              <a:cs typeface="+mn-cs"/>
            </a:rPr>
            <a:t>One additional day of promise-window buffer moves compliance </a:t>
          </a:r>
          <a:r>
            <a:rPr lang="en-US" sz="1100" b="1">
              <a:solidFill>
                <a:schemeClr val="dk1"/>
              </a:solidFill>
              <a:latin typeface="+mn-lt"/>
              <a:ea typeface="+mn-ea"/>
              <a:cs typeface="+mn-cs"/>
            </a:rPr>
            <a:t>from 83.5% to 92.6%</a:t>
          </a:r>
          <a:r>
            <a:rPr lang="en-US" sz="1100">
              <a:solidFill>
                <a:schemeClr val="dk1"/>
              </a:solidFill>
              <a:latin typeface="+mn-lt"/>
              <a:ea typeface="+mn-ea"/>
              <a:cs typeface="+mn-cs"/>
            </a:rPr>
            <a:t>, exceeding the </a:t>
          </a:r>
          <a:r>
            <a:rPr lang="en-US" sz="1100" b="1">
              <a:solidFill>
                <a:schemeClr val="dk1"/>
              </a:solidFill>
              <a:latin typeface="+mn-lt"/>
              <a:ea typeface="+mn-ea"/>
              <a:cs typeface="+mn-cs"/>
            </a:rPr>
            <a:t>90% target</a:t>
          </a:r>
          <a:r>
            <a:rPr lang="en-US" sz="1100">
              <a:solidFill>
                <a:schemeClr val="dk1"/>
              </a:solidFill>
              <a:latin typeface="+mn-lt"/>
              <a:ea typeface="+mn-ea"/>
              <a:cs typeface="+mn-cs"/>
            </a:rPr>
            <a:t>, and reduces</a:t>
          </a:r>
          <a:r>
            <a:rPr lang="en-US" sz="1100" baseline="0">
              <a:solidFill>
                <a:schemeClr val="dk1"/>
              </a:solidFill>
              <a:latin typeface="+mn-lt"/>
              <a:ea typeface="+mn-ea"/>
              <a:cs typeface="+mn-cs"/>
            </a:rPr>
            <a:t> modeled penalty exposure by </a:t>
          </a:r>
          <a:r>
            <a:rPr lang="en-US" sz="1100" b="1" baseline="0">
              <a:solidFill>
                <a:schemeClr val="dk1"/>
              </a:solidFill>
              <a:latin typeface="+mn-lt"/>
              <a:ea typeface="+mn-ea"/>
              <a:cs typeface="+mn-cs"/>
            </a:rPr>
            <a:t>57%</a:t>
          </a:r>
          <a:r>
            <a:rPr lang="en-US" sz="1100" baseline="0">
              <a:solidFill>
                <a:schemeClr val="dk1"/>
              </a:solidFill>
              <a:latin typeface="+mn-lt"/>
              <a:ea typeface="+mn-ea"/>
              <a:cs typeface="+mn-cs"/>
            </a:rPr>
            <a:t>. The trade-off is a longer quoted lead time, a competitive cost not reflected in this analysis.</a:t>
          </a:r>
        </a:p>
        <a:p>
          <a:endParaRPr lang="en-US" sz="1100" baseline="0">
            <a:solidFill>
              <a:schemeClr val="dk1"/>
            </a:solidFill>
            <a:latin typeface="+mn-lt"/>
            <a:ea typeface="+mn-ea"/>
            <a:cs typeface="+mn-cs"/>
          </a:endParaRPr>
        </a:p>
        <a:p>
          <a:r>
            <a:rPr lang="en-US" sz="1100" u="sng" baseline="0">
              <a:solidFill>
                <a:schemeClr val="dk1"/>
              </a:solidFill>
              <a:latin typeface="+mn-lt"/>
              <a:ea typeface="+mn-ea"/>
              <a:cs typeface="+mn-cs"/>
            </a:rPr>
            <a:t>Note:</a:t>
          </a:r>
          <a:r>
            <a:rPr lang="en-US" sz="1100" u="none" baseline="0">
              <a:solidFill>
                <a:schemeClr val="dk1"/>
              </a:solidFill>
              <a:latin typeface="+mn-lt"/>
              <a:ea typeface="+mn-ea"/>
              <a:cs typeface="+mn-cs"/>
            </a:rPr>
            <a:t> the $75/bread-day penalty rate is an illustrative assumption, not observed data.</a:t>
          </a:r>
          <a:endParaRPr lang="en-US" sz="1100" u="sng">
            <a:solidFill>
              <a:schemeClr val="dk1"/>
            </a:solidFill>
            <a:latin typeface="+mn-lt"/>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h Nguyen" refreshedDate="46237.044372453704" backgroundQuery="1" createdVersion="8" refreshedVersion="8" minRefreshableVersion="3" recordCount="0" supportSubquery="1" supportAdvancedDrill="1" xr:uid="{852E9FA0-6AC3-4DFA-BCB2-D5B0967DD2FA}">
  <cacheSource type="external" connectionId="4"/>
  <cacheFields count="14">
    <cacheField name="[Measures].[Total Weight]" caption="Total Weight" numFmtId="0" hierarchy="39" level="32767"/>
    <cacheField name="[Measures].[Freight Cost Per Lb]" caption="Freight Cost Per Lb" numFmtId="0" hierarchy="40" level="32767"/>
    <cacheField name="[Measures].[Avg Order Freight Cost]" caption="Avg Order Freight Cost" numFmtId="0" hierarchy="41" level="32767"/>
    <cacheField name="[Measures].[Modeled Penalty Exposure]" caption="Modeled Penalty Exposure" numFmtId="0" hierarchy="42" level="32767"/>
    <cacheField name="[Measures].[Total Freight Cost]" caption="Total Freight Cost" numFmtId="0" hierarchy="38" level="32767"/>
    <cacheField name="[Measures].[Avg Schedule Variance]" caption="Avg Schedule Variance" numFmtId="0" hierarchy="37" level="32767"/>
    <cacheField name="[Measures].[Avg Delay When Late]" caption="Avg Delay When Late" numFmtId="0" hierarchy="36" level="32767"/>
    <cacheField name="[Measures].[Total Breach Days]" caption="Total Breach Days" numFmtId="0" hierarchy="35" level="32767"/>
    <cacheField name="[Measures].[SLA Target Gap]" caption="SLA Target Gap" numFmtId="0" hierarchy="34" level="32767"/>
    <cacheField name="[Measures].[SLA Compliance Rate]" caption="SLA Compliance Rate" numFmtId="0" hierarchy="33" level="32767"/>
    <cacheField name="[Measures].[SLA Breached Shipments]" caption="SLA Breached Shipments" numFmtId="0" hierarchy="32" level="32767"/>
    <cacheField name="[Measures].[On-Time Shipments]" caption="On-Time Shipments" numFmtId="0" hierarchy="31" level="32767"/>
    <cacheField name="[Measures].[Total Shipments]" caption="Total Shipments" numFmtId="0" hierarchy="30" level="32767"/>
    <cacheField name="[dim_Carriers].[Carrier_Name].[Carrier_Name]" caption="Carrier_Name" numFmtId="0" hierarchy="1" level="1">
      <sharedItems containsSemiMixedTypes="0" containsNonDate="0" containsString="0"/>
    </cacheField>
  </cacheFields>
  <cacheHierarchies count="47">
    <cacheHierarchy uniqueName="[dim_Carriers].[Carrier_ID]" caption="Carrier_ID" attribute="1" defaultMemberUniqueName="[dim_Carriers].[Carrier_ID].[All]" allUniqueName="[dim_Carriers].[Carrier_ID].[All]" dimensionUniqueName="[dim_Carriers]" displayFolder="" count="0" memberValueDatatype="130" unbalanced="0"/>
    <cacheHierarchy uniqueName="[dim_Carriers].[Carrier_Name]" caption="Carrier_Name" attribute="1" defaultMemberUniqueName="[dim_Carriers].[Carrier_Name].[All]" allUniqueName="[dim_Carriers].[Carrier_Name].[All]" dimensionUniqueName="[dim_Carriers]" displayFolder="" count="2" memberValueDatatype="130" unbalanced="0">
      <fieldsUsage count="2">
        <fieldUsage x="-1"/>
        <fieldUsage x="13"/>
      </fieldsUsage>
    </cacheHierarchy>
    <cacheHierarchy uniqueName="[dim_Carriers].[SLA_Target_Days]" caption="SLA_Target_Days" attribute="1" defaultMemberUniqueName="[dim_Carriers].[SLA_Target_Days].[All]" allUniqueName="[dim_Carriers].[SLA_Target_Days].[All]" dimensionUniqueName="[dim_Carriers]" displayFolder="" count="0" memberValueDatatype="20" unbalanced="0"/>
    <cacheHierarchy uniqueName="[dim_Carriers].[Base_Cost_Per_Shipment]" caption="Base_Cost_Per_Shipment" attribute="1" defaultMemberUniqueName="[dim_Carriers].[Base_Cost_Per_Shipment].[All]" allUniqueName="[dim_Carriers].[Base_Cost_Per_Shipment].[All]" dimensionUniqueName="[dim_Carriers]" displayFolder="" count="0" memberValueDatatype="5" unbalanced="0"/>
    <cacheHierarchy uniqueName="[dim_Warehouses].[Warehouse_ID]" caption="Warehouse_ID" attribute="1" defaultMemberUniqueName="[dim_Warehouses].[Warehouse_ID].[All]" allUniqueName="[dim_Warehouses].[Warehouse_ID].[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0" memberValueDatatype="130" unbalanced="0"/>
    <cacheHierarchy uniqueName="[dim_Warehouses].[Max_Capacity_Units]" caption="Max_Capacity_Units" attribute="1" defaultMemberUniqueName="[dim_Warehouses].[Max_Capacity_Units].[All]" allUniqueName="[dim_Warehouses].[Max_Capacity_Units].[All]" dimensionUniqueName="[dim_Warehouses]" displayFolder="" count="0" memberValueDatatype="20" unbalanced="0"/>
    <cacheHierarchy uniqueName="[dim_Warehouses].[Handling_Cost_Per_Unit]" caption="Handling_Cost_Per_Unit" attribute="1" defaultMemberUniqueName="[dim_Warehouses].[Handling_Cost_Per_Unit].[All]" allUniqueName="[dim_Warehouses].[Handling_Cost_Per_Unit].[All]" dimensionUniqueName="[dim_Warehouses]" displayFolder="" count="0" memberValueDatatype="5" unbalanced="0"/>
    <cacheHierarchy uniqueName="[fct_Shipments].[Shipment_ID]" caption="Shipment_ID" attribute="1" defaultMemberUniqueName="[fct_Shipments].[Shipment_ID].[All]" allUniqueName="[fct_Shipments].[Shipment_ID].[All]" dimensionUniqueName="[fct_Shipments]" displayFolder="" count="0" memberValueDatatype="130" unbalanced="0"/>
    <cacheHierarchy uniqueName="[fct_Shipments].[Order_Date]" caption="Order_Date" attribute="1" time="1" defaultMemberUniqueName="[fct_Shipments].[Order_Date].[All]" allUniqueName="[fct_Shipments].[Order_Date].[All]" dimensionUniqueName="[fct_Shipments]" displayFolder="" count="0" memberValueDatatype="7" unbalanced="0"/>
    <cacheHierarchy uniqueName="[fct_Shipments].[Order_Month]" caption="Order_Month" attribute="1" time="1" defaultMemberUniqueName="[fct_Shipments].[Order_Month].[All]" allUniqueName="[fct_Shipments].[Order_Month].[All]" dimensionUniqueName="[fct_Shipments]" displayFolder="" count="0" memberValueDatatype="7" unbalanced="0"/>
    <cacheHierarchy uniqueName="[fct_Shipments].[Warehouse_ID]" caption="Warehouse_ID" attribute="1" defaultMemberUniqueName="[fct_Shipments].[Warehouse_ID].[All]" allUniqueName="[fct_Shipments].[Warehouse_ID].[All]" dimensionUniqueName="[fct_Shipments]" displayFolder="" count="0" memberValueDatatype="130" unbalanced="0"/>
    <cacheHierarchy uniqueName="[fct_Shipments].[Carrier_ID]" caption="Carrier_ID" attribute="1" defaultMemberUniqueName="[fct_Shipments].[Carrier_ID].[All]" allUniqueName="[fct_Shipments].[Carrier_ID].[All]" dimensionUniqueName="[fct_Shipments]" displayFolder="" count="0" memberValueDatatype="130" unbalanced="0"/>
    <cacheHierarchy uniqueName="[fct_Shipments].[Promised_Ship_Date]" caption="Promised_Ship_Date" attribute="1" time="1" defaultMemberUniqueName="[fct_Shipments].[Promised_Ship_Date].[All]" allUniqueName="[fct_Shipments].[Promised_Ship_Date].[All]" dimensionUniqueName="[fct_Shipments]" displayFolder="" count="0" memberValueDatatype="7" unbalanced="0"/>
    <cacheHierarchy uniqueName="[fct_Shipments].[Actual_Ship_Date]" caption="Actual_Ship_Date" attribute="1" time="1" defaultMemberUniqueName="[fct_Shipments].[Actual_Ship_Date].[All]" allUniqueName="[fct_Shipments].[Actual_Ship_Date].[All]" dimensionUniqueName="[fct_Shipments]" displayFolder="" count="0" memberValueDatatype="7" unbalanced="0"/>
    <cacheHierarchy uniqueName="[fct_Shipments].[Shipment_Weight_Lbs]" caption="Shipment_Weight_Lbs" attribute="1" defaultMemberUniqueName="[fct_Shipments].[Shipment_Weight_Lbs].[All]" allUniqueName="[fct_Shipments].[Shipment_Weight_Lbs].[All]" dimensionUniqueName="[fct_Shipments]" displayFolder="" count="0" memberValueDatatype="20" unbalanced="0"/>
    <cacheHierarchy uniqueName="[fct_Shipments].[Freight_Cost]" caption="Freight_Cost" attribute="1" defaultMemberUniqueName="[fct_Shipments].[Freight_Cost].[All]" allUniqueName="[fct_Shipments].[Freight_Cost].[All]" dimensionUniqueName="[fct_Shipments]" displayFolder="" count="0" memberValueDatatype="5" unbalanced="0"/>
    <cacheHierarchy uniqueName="[fct_Shipments].[Cost_Per_lb]" caption="Cost_Per_lb" attribute="1" defaultMemberUniqueName="[fct_Shipments].[Cost_Per_lb].[All]" allUniqueName="[fct_Shipments].[Cost_Per_lb].[All]" dimensionUniqueName="[fct_Shipments]" displayFolder="" count="0" memberValueDatatype="5" unbalanced="0"/>
    <cacheHierarchy uniqueName="[fct_Shipments].[Delay_Days]" caption="Delay_Days" attribute="1" defaultMemberUniqueName="[fct_Shipments].[Delay_Days].[All]" allUniqueName="[fct_Shipments].[Delay_Days].[All]" dimensionUniqueName="[fct_Shipments]" displayFolder="" count="0" memberValueDatatype="20" unbalanced="0"/>
    <cacheHierarchy uniqueName="[fct_Shipments].[Is_OnTime]" caption="Is_OnTime" attribute="1" defaultMemberUniqueName="[fct_Shipments].[Is_OnTime].[All]" allUniqueName="[fct_Shipments].[Is_OnTime].[All]" dimensionUniqueName="[fct_Shipments]" displayFolder="" count="0" memberValueDatatype="130" unbalanced="0"/>
    <cacheHierarchy uniqueName="[fct_Shipments].[Delivery_Status]" caption="Delivery_Status" attribute="1" defaultMemberUniqueName="[fct_Shipments].[Delivery_Status].[All]" allUniqueName="[fct_Shipments].[Delivery_Status].[All]" dimensionUniqueName="[fct_Shipments]" displayFolder="" count="0" memberValueDatatype="130" unbalanced="0"/>
    <cacheHierarchy uniqueName="[fct_Shipments].[Order_Month (Year)]" caption="Order_Month (Year)" attribute="1" defaultMemberUniqueName="[fct_Shipments].[Order_Month (Year)].[All]" allUniqueName="[fct_Shipments].[Order_Month (Year)].[All]" dimensionUniqueName="[fct_Shipments]" displayFolder="" count="0" memberValueDatatype="130" unbalanced="0"/>
    <cacheHierarchy uniqueName="[fct_Shipments].[Order_Month (Quarter)]" caption="Order_Month (Quarter)" attribute="1" defaultMemberUniqueName="[fct_Shipments].[Order_Month (Quarter)].[All]" allUniqueName="[fct_Shipments].[Order_Month (Quarter)].[All]" dimensionUniqueName="[fct_Shipments]" displayFolder="" count="0" memberValueDatatype="130" unbalanced="0"/>
    <cacheHierarchy uniqueName="[fct_Shipments].[Order_Month (Month)]" caption="Order_Month (Month)" attribute="1" defaultMemberUniqueName="[fct_Shipments].[Order_Month (Month)].[All]" allUniqueName="[fct_Shipments].[Order_Month (Month)].[All]" dimensionUniqueName="[fct_Shipments]" displayFolder="" count="0" memberValueDatatype="130" unbalanced="0"/>
    <cacheHierarchy uniqueName="[fct_Shipments].[Order_Date (Year)]" caption="Order_Date (Year)" attribute="1" defaultMemberUniqueName="[fct_Shipments].[Order_Date (Year)].[All]" allUniqueName="[fct_Shipments].[Order_Date (Year)].[All]" dimensionUniqueName="[fct_Shipments]" displayFolder="" count="0" memberValueDatatype="130" unbalanced="0"/>
    <cacheHierarchy uniqueName="[fct_Shipments].[Order_Date (Quarter)]" caption="Order_Date (Quarter)" attribute="1" defaultMemberUniqueName="[fct_Shipments].[Order_Date (Quarter)].[All]" allUniqueName="[fct_Shipments].[Order_Date (Quarter)].[All]" dimensionUniqueName="[fct_Shipments]" displayFolder="" count="0" memberValueDatatype="130" unbalanced="0"/>
    <cacheHierarchy uniqueName="[fct_Shipments].[Order_Date (Month)]" caption="Order_Date (Month)" attribute="1" defaultMemberUniqueName="[fct_Shipments].[Order_Date (Month)].[All]" allUniqueName="[fct_Shipments].[Order_Date (Month)].[All]" dimensionUniqueName="[fct_Shipments]" displayFolder="" count="0" memberValueDatatype="130" unbalanced="0"/>
    <cacheHierarchy uniqueName="[fct_Shipments].[Order_Date (Month Index)]" caption="Order_Date (Month Index)" attribute="1" defaultMemberUniqueName="[fct_Shipments].[Order_Date (Month Index)].[All]" allUniqueName="[fct_Shipments].[Order_Date (Month Index)].[All]" dimensionUniqueName="[fct_Shipments]" displayFolder="" count="0" memberValueDatatype="20" unbalanced="0" hidden="1"/>
    <cacheHierarchy uniqueName="[fct_Shipments].[Order_Month (Month Index)]" caption="Order_Month (Month Index)" attribute="1" defaultMemberUniqueName="[fct_Shipments].[Order_Month (Month Index)].[All]" allUniqueName="[fct_Shipments].[Order_Month (Month Index)].[All]" dimensionUniqueName="[fct_Shipments]" displayFolder="" count="0" memberValueDatatype="20" unbalanced="0" hidden="1"/>
    <cacheHierarchy uniqueName="[Measures].[Total Shipments]" caption="Total Shipments" measure="1" displayFolder="" measureGroup="fct_Shipments" count="0" oneField="1">
      <fieldsUsage count="1">
        <fieldUsage x="12"/>
      </fieldsUsage>
    </cacheHierarchy>
    <cacheHierarchy uniqueName="[Measures].[On-Time Shipments]" caption="On-Time Shipments" measure="1" displayFolder="" measureGroup="fct_Shipments" count="0" oneField="1">
      <fieldsUsage count="1">
        <fieldUsage x="11"/>
      </fieldsUsage>
    </cacheHierarchy>
    <cacheHierarchy uniqueName="[Measures].[SLA Breached Shipments]" caption="SLA Breached Shipments" measure="1" displayFolder="" measureGroup="fct_Shipments" count="0" oneField="1">
      <fieldsUsage count="1">
        <fieldUsage x="10"/>
      </fieldsUsage>
    </cacheHierarchy>
    <cacheHierarchy uniqueName="[Measures].[SLA Compliance Rate]" caption="SLA Compliance Rate" measure="1" displayFolder="" measureGroup="fct_Shipments" count="0" oneField="1">
      <fieldsUsage count="1">
        <fieldUsage x="9"/>
      </fieldsUsage>
    </cacheHierarchy>
    <cacheHierarchy uniqueName="[Measures].[SLA Target Gap]" caption="SLA Target Gap" measure="1" displayFolder="" measureGroup="fct_Shipments" count="0" oneField="1">
      <fieldsUsage count="1">
        <fieldUsage x="8"/>
      </fieldsUsage>
    </cacheHierarchy>
    <cacheHierarchy uniqueName="[Measures].[Total Breach Days]" caption="Total Breach Days" measure="1" displayFolder="" measureGroup="fct_Shipments" count="0" oneField="1">
      <fieldsUsage count="1">
        <fieldUsage x="7"/>
      </fieldsUsage>
    </cacheHierarchy>
    <cacheHierarchy uniqueName="[Measures].[Avg Delay When Late]" caption="Avg Delay When Late" measure="1" displayFolder="" measureGroup="fct_Shipments" count="0" oneField="1">
      <fieldsUsage count="1">
        <fieldUsage x="6"/>
      </fieldsUsage>
    </cacheHierarchy>
    <cacheHierarchy uniqueName="[Measures].[Avg Schedule Variance]" caption="Avg Schedule Variance" measure="1" displayFolder="" measureGroup="fct_Shipments" count="0" oneField="1">
      <fieldsUsage count="1">
        <fieldUsage x="5"/>
      </fieldsUsage>
    </cacheHierarchy>
    <cacheHierarchy uniqueName="[Measures].[Total Freight Cost]" caption="Total Freight Cost" measure="1" displayFolder="" measureGroup="fct_Shipments" count="0" oneField="1">
      <fieldsUsage count="1">
        <fieldUsage x="4"/>
      </fieldsUsage>
    </cacheHierarchy>
    <cacheHierarchy uniqueName="[Measures].[Total Weight]" caption="Total Weight" measure="1" displayFolder="" measureGroup="fct_Shipments" count="0" oneField="1">
      <fieldsUsage count="1">
        <fieldUsage x="0"/>
      </fieldsUsage>
    </cacheHierarchy>
    <cacheHierarchy uniqueName="[Measures].[Freight Cost Per Lb]" caption="Freight Cost Per Lb" measure="1" displayFolder="" measureGroup="fct_Shipments" count="0" oneField="1">
      <fieldsUsage count="1">
        <fieldUsage x="1"/>
      </fieldsUsage>
    </cacheHierarchy>
    <cacheHierarchy uniqueName="[Measures].[Avg Order Freight Cost]" caption="Avg Order Freight Cost" measure="1" displayFolder="" measureGroup="fct_Shipments" count="0" oneField="1">
      <fieldsUsage count="1">
        <fieldUsage x="2"/>
      </fieldsUsage>
    </cacheHierarchy>
    <cacheHierarchy uniqueName="[Measures].[Modeled Penalty Exposure]" caption="Modeled Penalty Exposure" measure="1" displayFolder="" measureGroup="fct_Shipments" count="0" oneField="1">
      <fieldsUsage count="1">
        <fieldUsage x="3"/>
      </fieldsUsage>
    </cacheHierarchy>
    <cacheHierarchy uniqueName="[Measures].[__XL_Count dim_Carriers]" caption="__XL_Count dim_Carriers" measure="1" displayFolder="" measureGroup="dim_Carriers" count="0" hidden="1"/>
    <cacheHierarchy uniqueName="[Measures].[__XL_Count dim_Warehouses]" caption="__XL_Count dim_Warehouses" measure="1" displayFolder="" measureGroup="dim_Warehouses" count="0" hidden="1"/>
    <cacheHierarchy uniqueName="[Measures].[__XL_Count fct_Shipments]" caption="__XL_Count fct_Shipments" measure="1" displayFolder="" measureGroup="fct_Shipments" count="0" hidden="1"/>
    <cacheHierarchy uniqueName="[Measures].[__No measures defined]" caption="__No measures defined" measure="1" displayFolder="" count="0" hidden="1"/>
  </cacheHierarchies>
  <kpis count="0"/>
  <dimensions count="4">
    <dimension name="dim_Carriers" uniqueName="[dim_Carriers]" caption="dim_Carriers"/>
    <dimension name="dim_Warehouses" uniqueName="[dim_Warehouses]" caption="dim_Warehouses"/>
    <dimension name="fct_Shipments" uniqueName="[fct_Shipments]" caption="fct_Shipments"/>
    <dimension measure="1" name="Measures" uniqueName="[Measures]" caption="Measures"/>
  </dimensions>
  <measureGroups count="3">
    <measureGroup name="dim_Carriers" caption="dim_Carriers"/>
    <measureGroup name="dim_Warehouses" caption="dim_Warehouses"/>
    <measureGroup name="fct_Shipments" caption="fct_Shipmen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h Nguyen" refreshedDate="46237.419540162038" backgroundQuery="1" createdVersion="8" refreshedVersion="8" minRefreshableVersion="3" recordCount="0" supportSubquery="1" supportAdvancedDrill="1" xr:uid="{B2D39A3F-AD7D-4D44-969A-C166B15BEDF4}">
  <cacheSource type="external" connectionId="4"/>
  <cacheFields count="4">
    <cacheField name="[Measures].[SLA Compliance Rate]" caption="SLA Compliance Rate" numFmtId="0" hierarchy="33" level="32767"/>
    <cacheField name="[Measures].[Total Shipments]" caption="Total Shipments" numFmtId="0" hierarchy="30" level="32767"/>
    <cacheField name="[fct_Shipments].[Order_Date (Month)].[Order_Date (Month)]" caption="Order_Date (Month)" numFmtId="0" hierarchy="27" level="1">
      <sharedItems count="12">
        <s v="Aug"/>
        <s v="Sep"/>
        <s v="Oct"/>
        <s v="Nov"/>
        <s v="Dec"/>
        <s v="Jan"/>
        <s v="Feb"/>
        <s v="Mar"/>
        <s v="Apr"/>
        <s v="May"/>
        <s v="Jun"/>
        <s v="Jul"/>
      </sharedItems>
    </cacheField>
    <cacheField name="[fct_Shipments].[Order_Date (Year)].[Order_Date (Year)]" caption="Order_Date (Year)" numFmtId="0" hierarchy="25" level="1">
      <sharedItems count="2">
        <s v="2025"/>
        <s v="2026"/>
      </sharedItems>
    </cacheField>
  </cacheFields>
  <cacheHierarchies count="47">
    <cacheHierarchy uniqueName="[dim_Carriers].[Carrier_ID]" caption="Carrier_ID" attribute="1" defaultMemberUniqueName="[dim_Carriers].[Carrier_ID].[All]" allUniqueName="[dim_Carriers].[Carrier_ID].[All]" dimensionUniqueName="[dim_Carriers]" displayFolder="" count="2" memberValueDatatype="130" unbalanced="0"/>
    <cacheHierarchy uniqueName="[dim_Carriers].[Carrier_Name]" caption="Carrier_Name" attribute="1" defaultMemberUniqueName="[dim_Carriers].[Carrier_Name].[All]" allUniqueName="[dim_Carriers].[Carrier_Name].[All]" dimensionUniqueName="[dim_Carriers]" displayFolder="" count="2" memberValueDatatype="130" unbalanced="0"/>
    <cacheHierarchy uniqueName="[dim_Carriers].[SLA_Target_Days]" caption="SLA_Target_Days" attribute="1" defaultMemberUniqueName="[dim_Carriers].[SLA_Target_Days].[All]" allUniqueName="[dim_Carriers].[SLA_Target_Days].[All]" dimensionUniqueName="[dim_Carriers]" displayFolder="" count="2" memberValueDatatype="20" unbalanced="0"/>
    <cacheHierarchy uniqueName="[dim_Carriers].[Base_Cost_Per_Shipment]" caption="Base_Cost_Per_Shipment" attribute="1" defaultMemberUniqueName="[dim_Carriers].[Base_Cost_Per_Shipment].[All]" allUniqueName="[dim_Carriers].[Base_Cost_Per_Shipment].[All]" dimensionUniqueName="[dim_Carriers]" displayFolder="" count="2" memberValueDatatype="5" unbalanced="0"/>
    <cacheHierarchy uniqueName="[dim_Warehouses].[Warehouse_ID]" caption="Warehouse_ID" attribute="1" defaultMemberUniqueName="[dim_Warehouses].[Warehouse_ID].[All]" allUniqueName="[dim_Warehouses].[Warehouse_ID].[All]" dimensionUniqueName="[dim_Warehouses]" displayFolder="" count="2" memberValueDatatype="130" unbalanced="0"/>
    <cacheHierarchy uniqueName="[dim_Warehouses].[Warehouse_Name]" caption="Warehouse_Name" attribute="1" defaultMemberUniqueName="[dim_Warehouses].[Warehouse_Name].[All]" allUniqueName="[dim_Warehouses].[Warehouse_Name].[All]" dimensionUniqueName="[dim_Warehouses]" displayFolder="" count="2" memberValueDatatype="130" unbalanced="0"/>
    <cacheHierarchy uniqueName="[dim_Warehouses].[Region]" caption="Region" attribute="1" defaultMemberUniqueName="[dim_Warehouses].[Region].[All]" allUniqueName="[dim_Warehouses].[Region].[All]" dimensionUniqueName="[dim_Warehouses]" displayFolder="" count="2" memberValueDatatype="130" unbalanced="0"/>
    <cacheHierarchy uniqueName="[dim_Warehouses].[Max_Capacity_Units]" caption="Max_Capacity_Units" attribute="1" defaultMemberUniqueName="[dim_Warehouses].[Max_Capacity_Units].[All]" allUniqueName="[dim_Warehouses].[Max_Capacity_Units].[All]" dimensionUniqueName="[dim_Warehouses]" displayFolder="" count="2" memberValueDatatype="20" unbalanced="0"/>
    <cacheHierarchy uniqueName="[dim_Warehouses].[Handling_Cost_Per_Unit]" caption="Handling_Cost_Per_Unit" attribute="1" defaultMemberUniqueName="[dim_Warehouses].[Handling_Cost_Per_Unit].[All]" allUniqueName="[dim_Warehouses].[Handling_Cost_Per_Unit].[All]" dimensionUniqueName="[dim_Warehouses]" displayFolder="" count="2" memberValueDatatype="5" unbalanced="0"/>
    <cacheHierarchy uniqueName="[fct_Shipments].[Shipment_ID]" caption="Shipment_ID" attribute="1" defaultMemberUniqueName="[fct_Shipments].[Shipment_ID].[All]" allUniqueName="[fct_Shipments].[Shipment_ID].[All]" dimensionUniqueName="[fct_Shipments]" displayFolder="" count="2" memberValueDatatype="130" unbalanced="0"/>
    <cacheHierarchy uniqueName="[fct_Shipments].[Order_Date]" caption="Order_Date" attribute="1" time="1" defaultMemberUniqueName="[fct_Shipments].[Order_Date].[All]" allUniqueName="[fct_Shipments].[Order_Date].[All]" dimensionUniqueName="[fct_Shipments]" displayFolder="" count="2" memberValueDatatype="7" unbalanced="0"/>
    <cacheHierarchy uniqueName="[fct_Shipments].[Order_Month]" caption="Order_Month" attribute="1" time="1" defaultMemberUniqueName="[fct_Shipments].[Order_Month].[All]" allUniqueName="[fct_Shipments].[Order_Month].[All]" dimensionUniqueName="[fct_Shipments]" displayFolder="" count="2" memberValueDatatype="7" unbalanced="0"/>
    <cacheHierarchy uniqueName="[fct_Shipments].[Warehouse_ID]" caption="Warehouse_ID" attribute="1" defaultMemberUniqueName="[fct_Shipments].[Warehouse_ID].[All]" allUniqueName="[fct_Shipments].[Warehouse_ID].[All]" dimensionUniqueName="[fct_Shipments]" displayFolder="" count="2" memberValueDatatype="130" unbalanced="0"/>
    <cacheHierarchy uniqueName="[fct_Shipments].[Carrier_ID]" caption="Carrier_ID" attribute="1" defaultMemberUniqueName="[fct_Shipments].[Carrier_ID].[All]" allUniqueName="[fct_Shipments].[Carrier_ID].[All]" dimensionUniqueName="[fct_Shipments]" displayFolder="" count="2" memberValueDatatype="130" unbalanced="0"/>
    <cacheHierarchy uniqueName="[fct_Shipments].[Promised_Ship_Date]" caption="Promised_Ship_Date" attribute="1" time="1" defaultMemberUniqueName="[fct_Shipments].[Promised_Ship_Date].[All]" allUniqueName="[fct_Shipments].[Promised_Ship_Date].[All]" dimensionUniqueName="[fct_Shipments]" displayFolder="" count="2" memberValueDatatype="7" unbalanced="0"/>
    <cacheHierarchy uniqueName="[fct_Shipments].[Actual_Ship_Date]" caption="Actual_Ship_Date" attribute="1" time="1" defaultMemberUniqueName="[fct_Shipments].[Actual_Ship_Date].[All]" allUniqueName="[fct_Shipments].[Actual_Ship_Date].[All]" dimensionUniqueName="[fct_Shipments]" displayFolder="" count="2" memberValueDatatype="7" unbalanced="0"/>
    <cacheHierarchy uniqueName="[fct_Shipments].[Shipment_Weight_Lbs]" caption="Shipment_Weight_Lbs" attribute="1" defaultMemberUniqueName="[fct_Shipments].[Shipment_Weight_Lbs].[All]" allUniqueName="[fct_Shipments].[Shipment_Weight_Lbs].[All]" dimensionUniqueName="[fct_Shipments]" displayFolder="" count="2" memberValueDatatype="20" unbalanced="0"/>
    <cacheHierarchy uniqueName="[fct_Shipments].[Freight_Cost]" caption="Freight_Cost" attribute="1" defaultMemberUniqueName="[fct_Shipments].[Freight_Cost].[All]" allUniqueName="[fct_Shipments].[Freight_Cost].[All]" dimensionUniqueName="[fct_Shipments]" displayFolder="" count="2" memberValueDatatype="5" unbalanced="0"/>
    <cacheHierarchy uniqueName="[fct_Shipments].[Cost_Per_lb]" caption="Cost_Per_lb" attribute="1" defaultMemberUniqueName="[fct_Shipments].[Cost_Per_lb].[All]" allUniqueName="[fct_Shipments].[Cost_Per_lb].[All]" dimensionUniqueName="[fct_Shipments]" displayFolder="" count="2" memberValueDatatype="5" unbalanced="0"/>
    <cacheHierarchy uniqueName="[fct_Shipments].[Delay_Days]" caption="Delay_Days" attribute="1" defaultMemberUniqueName="[fct_Shipments].[Delay_Days].[All]" allUniqueName="[fct_Shipments].[Delay_Days].[All]" dimensionUniqueName="[fct_Shipments]" displayFolder="" count="2" memberValueDatatype="20" unbalanced="0"/>
    <cacheHierarchy uniqueName="[fct_Shipments].[Is_OnTime]" caption="Is_OnTime" attribute="1" defaultMemberUniqueName="[fct_Shipments].[Is_OnTime].[All]" allUniqueName="[fct_Shipments].[Is_OnTime].[All]" dimensionUniqueName="[fct_Shipments]" displayFolder="" count="2" memberValueDatatype="130" unbalanced="0"/>
    <cacheHierarchy uniqueName="[fct_Shipments].[Delivery_Status]" caption="Delivery_Status" attribute="1" defaultMemberUniqueName="[fct_Shipments].[Delivery_Status].[All]" allUniqueName="[fct_Shipments].[Delivery_Status].[All]" dimensionUniqueName="[fct_Shipments]" displayFolder="" count="2" memberValueDatatype="130" unbalanced="0"/>
    <cacheHierarchy uniqueName="[fct_Shipments].[Order_Month (Year)]" caption="Order_Month (Year)" attribute="1" defaultMemberUniqueName="[fct_Shipments].[Order_Month (Year)].[All]" allUniqueName="[fct_Shipments].[Order_Month (Year)].[All]" dimensionUniqueName="[fct_Shipments]" displayFolder="" count="2" memberValueDatatype="130" unbalanced="0"/>
    <cacheHierarchy uniqueName="[fct_Shipments].[Order_Month (Quarter)]" caption="Order_Month (Quarter)" attribute="1" defaultMemberUniqueName="[fct_Shipments].[Order_Month (Quarter)].[All]" allUniqueName="[fct_Shipments].[Order_Month (Quarter)].[All]" dimensionUniqueName="[fct_Shipments]" displayFolder="" count="2" memberValueDatatype="130" unbalanced="0"/>
    <cacheHierarchy uniqueName="[fct_Shipments].[Order_Month (Month)]" caption="Order_Month (Month)" attribute="1" defaultMemberUniqueName="[fct_Shipments].[Order_Month (Month)].[All]" allUniqueName="[fct_Shipments].[Order_Month (Month)].[All]" dimensionUniqueName="[fct_Shipments]" displayFolder="" count="2" memberValueDatatype="130" unbalanced="0"/>
    <cacheHierarchy uniqueName="[fct_Shipments].[Order_Date (Year)]" caption="Order_Date (Year)" attribute="1" defaultMemberUniqueName="[fct_Shipments].[Order_Date (Year)].[All]" allUniqueName="[fct_Shipments].[Order_Date (Year)].[All]" dimensionUniqueName="[fct_Shipments]" displayFolder="" count="2" memberValueDatatype="130" unbalanced="0">
      <fieldsUsage count="2">
        <fieldUsage x="-1"/>
        <fieldUsage x="3"/>
      </fieldsUsage>
    </cacheHierarchy>
    <cacheHierarchy uniqueName="[fct_Shipments].[Order_Date (Quarter)]" caption="Order_Date (Quarter)" attribute="1" defaultMemberUniqueName="[fct_Shipments].[Order_Date (Quarter)].[All]" allUniqueName="[fct_Shipments].[Order_Date (Quarter)].[All]" dimensionUniqueName="[fct_Shipments]" displayFolder="" count="2" memberValueDatatype="130" unbalanced="0"/>
    <cacheHierarchy uniqueName="[fct_Shipments].[Order_Date (Month)]" caption="Order_Date (Month)" attribute="1" defaultMemberUniqueName="[fct_Shipments].[Order_Date (Month)].[All]" allUniqueName="[fct_Shipments].[Order_Date (Month)].[All]" dimensionUniqueName="[fct_Shipments]" displayFolder="" count="2" memberValueDatatype="130" unbalanced="0">
      <fieldsUsage count="2">
        <fieldUsage x="-1"/>
        <fieldUsage x="2"/>
      </fieldsUsage>
    </cacheHierarchy>
    <cacheHierarchy uniqueName="[fct_Shipments].[Order_Date (Month Index)]" caption="Order_Date (Month Index)" attribute="1" defaultMemberUniqueName="[fct_Shipments].[Order_Date (Month Index)].[All]" allUniqueName="[fct_Shipments].[Order_Date (Month Index)].[All]" dimensionUniqueName="[fct_Shipments]" displayFolder="" count="2" memberValueDatatype="20" unbalanced="0" hidden="1"/>
    <cacheHierarchy uniqueName="[fct_Shipments].[Order_Month (Month Index)]" caption="Order_Month (Month Index)" attribute="1" defaultMemberUniqueName="[fct_Shipments].[Order_Month (Month Index)].[All]" allUniqueName="[fct_Shipments].[Order_Month (Month Index)].[All]" dimensionUniqueName="[fct_Shipments]" displayFolder="" count="2" memberValueDatatype="20" unbalanced="0" hidden="1"/>
    <cacheHierarchy uniqueName="[Measures].[Total Shipments]" caption="Total Shipments" measure="1" displayFolder="" measureGroup="fct_Shipments" count="0" oneField="1">
      <fieldsUsage count="1">
        <fieldUsage x="1"/>
      </fieldsUsage>
    </cacheHierarchy>
    <cacheHierarchy uniqueName="[Measures].[On-Time Shipments]" caption="On-Time Shipments" measure="1" displayFolder="" measureGroup="fct_Shipments" count="0"/>
    <cacheHierarchy uniqueName="[Measures].[SLA Breached Shipments]" caption="SLA Breached Shipments" measure="1" displayFolder="" measureGroup="fct_Shipments" count="0"/>
    <cacheHierarchy uniqueName="[Measures].[SLA Compliance Rate]" caption="SLA Compliance Rate" measure="1" displayFolder="" measureGroup="fct_Shipments" count="0" oneField="1">
      <fieldsUsage count="1">
        <fieldUsage x="0"/>
      </fieldsUsage>
    </cacheHierarchy>
    <cacheHierarchy uniqueName="[Measures].[SLA Target Gap]" caption="SLA Target Gap" measure="1" displayFolder="" measureGroup="fct_Shipments" count="0"/>
    <cacheHierarchy uniqueName="[Measures].[Total Breach Days]" caption="Total Breach Days" measure="1" displayFolder="" measureGroup="fct_Shipments" count="0"/>
    <cacheHierarchy uniqueName="[Measures].[Avg Delay When Late]" caption="Avg Delay When Late" measure="1" displayFolder="" measureGroup="fct_Shipments" count="0"/>
    <cacheHierarchy uniqueName="[Measures].[Avg Schedule Variance]" caption="Avg Schedule Variance" measure="1" displayFolder="" measureGroup="fct_Shipments" count="0"/>
    <cacheHierarchy uniqueName="[Measures].[Total Freight Cost]" caption="Total Freight Cost" measure="1" displayFolder="" measureGroup="fct_Shipments" count="0"/>
    <cacheHierarchy uniqueName="[Measures].[Total Weight]" caption="Total Weight" measure="1" displayFolder="" measureGroup="fct_Shipments" count="0"/>
    <cacheHierarchy uniqueName="[Measures].[Freight Cost Per Lb]" caption="Freight Cost Per Lb" measure="1" displayFolder="" measureGroup="fct_Shipments" count="0"/>
    <cacheHierarchy uniqueName="[Measures].[Avg Order Freight Cost]" caption="Avg Order Freight Cost" measure="1" displayFolder="" measureGroup="fct_Shipments" count="0"/>
    <cacheHierarchy uniqueName="[Measures].[Modeled Penalty Exposure]" caption="Modeled Penalty Exposure" measure="1" displayFolder="" measureGroup="fct_Shipments" count="0"/>
    <cacheHierarchy uniqueName="[Measures].[__XL_Count dim_Carriers]" caption="__XL_Count dim_Carriers" measure="1" displayFolder="" measureGroup="dim_Carriers" count="0" hidden="1"/>
    <cacheHierarchy uniqueName="[Measures].[__XL_Count dim_Warehouses]" caption="__XL_Count dim_Warehouses" measure="1" displayFolder="" measureGroup="dim_Warehouses" count="0" hidden="1"/>
    <cacheHierarchy uniqueName="[Measures].[__XL_Count fct_Shipments]" caption="__XL_Count fct_Shipments" measure="1" displayFolder="" measureGroup="fct_Shipments" count="0" hidden="1"/>
    <cacheHierarchy uniqueName="[Measures].[__No measures defined]" caption="__No measures defined" measure="1" displayFolder="" count="0" hidden="1"/>
  </cacheHierarchies>
  <kpis count="0"/>
  <dimensions count="4">
    <dimension name="dim_Carriers" uniqueName="[dim_Carriers]" caption="dim_Carriers"/>
    <dimension name="dim_Warehouses" uniqueName="[dim_Warehouses]" caption="dim_Warehouses"/>
    <dimension name="fct_Shipments" uniqueName="[fct_Shipments]" caption="fct_Shipments"/>
    <dimension measure="1" name="Measures" uniqueName="[Measures]" caption="Measures"/>
  </dimensions>
  <measureGroups count="3">
    <measureGroup name="dim_Carriers" caption="dim_Carriers"/>
    <measureGroup name="dim_Warehouses" caption="dim_Warehouses"/>
    <measureGroup name="fct_Shipments" caption="fct_Shipmen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h Nguyen" refreshedDate="46237.443411111111" backgroundQuery="1" createdVersion="8" refreshedVersion="8" minRefreshableVersion="3" recordCount="0" supportSubquery="1" supportAdvancedDrill="1" xr:uid="{1D5E2C34-0F15-4574-AC9F-D83756C04424}">
  <cacheSource type="external" connectionId="4"/>
  <cacheFields count="8">
    <cacheField name="[Measures].[SLA Compliance Rate]" caption="SLA Compliance Rate" numFmtId="0" hierarchy="33" level="32767"/>
    <cacheField name="[Measures].[SLA Target Gap]" caption="SLA Target Gap" numFmtId="0" hierarchy="34" level="32767"/>
    <cacheField name="[Measures].[SLA Breached Shipments]" caption="SLA Breached Shipments" numFmtId="0" hierarchy="32" level="32767"/>
    <cacheField name="[Measures].[Total Freight Cost]" caption="Total Freight Cost" numFmtId="0" hierarchy="38" level="32767"/>
    <cacheField name="[Measures].[Avg Delay When Late]" caption="Avg Delay When Late" numFmtId="0" hierarchy="36" level="32767"/>
    <cacheField name="[Measures].[Modeled Penalty Exposure]" caption="Modeled Penalty Exposure" numFmtId="0" hierarchy="42" level="32767"/>
    <cacheField name="[fct_Shipments].[Order_Month (Month)].[Order_Month (Month)]" caption="Order_Month (Month)" numFmtId="0" hierarchy="24" level="1">
      <sharedItems containsSemiMixedTypes="0" containsNonDate="0" containsString="0"/>
    </cacheField>
    <cacheField name="[dim_Warehouses].[Region].[Region]" caption="Region" numFmtId="0" hierarchy="6" level="1">
      <sharedItems containsSemiMixedTypes="0" containsNonDate="0" containsString="0"/>
    </cacheField>
  </cacheFields>
  <cacheHierarchies count="47">
    <cacheHierarchy uniqueName="[dim_Carriers].[Carrier_ID]" caption="Carrier_ID" attribute="1" defaultMemberUniqueName="[dim_Carriers].[Carrier_ID].[All]" allUniqueName="[dim_Carriers].[Carrier_ID].[All]" dimensionUniqueName="[dim_Carriers]" displayFolder="" count="0" memberValueDatatype="130" unbalanced="0"/>
    <cacheHierarchy uniqueName="[dim_Carriers].[Carrier_Name]" caption="Carrier_Name" attribute="1" defaultMemberUniqueName="[dim_Carriers].[Carrier_Name].[All]" allUniqueName="[dim_Carriers].[Carrier_Name].[All]" dimensionUniqueName="[dim_Carriers]" displayFolder="" count="2" memberValueDatatype="130" unbalanced="0"/>
    <cacheHierarchy uniqueName="[dim_Carriers].[SLA_Target_Days]" caption="SLA_Target_Days" attribute="1" defaultMemberUniqueName="[dim_Carriers].[SLA_Target_Days].[All]" allUniqueName="[dim_Carriers].[SLA_Target_Days].[All]" dimensionUniqueName="[dim_Carriers]" displayFolder="" count="0" memberValueDatatype="20" unbalanced="0"/>
    <cacheHierarchy uniqueName="[dim_Carriers].[Base_Cost_Per_Shipment]" caption="Base_Cost_Per_Shipment" attribute="1" defaultMemberUniqueName="[dim_Carriers].[Base_Cost_Per_Shipment].[All]" allUniqueName="[dim_Carriers].[Base_Cost_Per_Shipment].[All]" dimensionUniqueName="[dim_Carriers]" displayFolder="" count="0" memberValueDatatype="5" unbalanced="0"/>
    <cacheHierarchy uniqueName="[dim_Warehouses].[Warehouse_ID]" caption="Warehouse_ID" attribute="1" defaultMemberUniqueName="[dim_Warehouses].[Warehouse_ID].[All]" allUniqueName="[dim_Warehouses].[Warehouse_ID].[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2" memberValueDatatype="130" unbalanced="0">
      <fieldsUsage count="2">
        <fieldUsage x="-1"/>
        <fieldUsage x="7"/>
      </fieldsUsage>
    </cacheHierarchy>
    <cacheHierarchy uniqueName="[dim_Warehouses].[Max_Capacity_Units]" caption="Max_Capacity_Units" attribute="1" defaultMemberUniqueName="[dim_Warehouses].[Max_Capacity_Units].[All]" allUniqueName="[dim_Warehouses].[Max_Capacity_Units].[All]" dimensionUniqueName="[dim_Warehouses]" displayFolder="" count="0" memberValueDatatype="20" unbalanced="0"/>
    <cacheHierarchy uniqueName="[dim_Warehouses].[Handling_Cost_Per_Unit]" caption="Handling_Cost_Per_Unit" attribute="1" defaultMemberUniqueName="[dim_Warehouses].[Handling_Cost_Per_Unit].[All]" allUniqueName="[dim_Warehouses].[Handling_Cost_Per_Unit].[All]" dimensionUniqueName="[dim_Warehouses]" displayFolder="" count="0" memberValueDatatype="5" unbalanced="0"/>
    <cacheHierarchy uniqueName="[fct_Shipments].[Shipment_ID]" caption="Shipment_ID" attribute="1" defaultMemberUniqueName="[fct_Shipments].[Shipment_ID].[All]" allUniqueName="[fct_Shipments].[Shipment_ID].[All]" dimensionUniqueName="[fct_Shipments]" displayFolder="" count="0" memberValueDatatype="130" unbalanced="0"/>
    <cacheHierarchy uniqueName="[fct_Shipments].[Order_Date]" caption="Order_Date" attribute="1" time="1" defaultMemberUniqueName="[fct_Shipments].[Order_Date].[All]" allUniqueName="[fct_Shipments].[Order_Date].[All]" dimensionUniqueName="[fct_Shipments]" displayFolder="" count="0" memberValueDatatype="7" unbalanced="0"/>
    <cacheHierarchy uniqueName="[fct_Shipments].[Order_Month]" caption="Order_Month" attribute="1" time="1" defaultMemberUniqueName="[fct_Shipments].[Order_Month].[All]" allUniqueName="[fct_Shipments].[Order_Month].[All]" dimensionUniqueName="[fct_Shipments]" displayFolder="" count="0" memberValueDatatype="7" unbalanced="0"/>
    <cacheHierarchy uniqueName="[fct_Shipments].[Warehouse_ID]" caption="Warehouse_ID" attribute="1" defaultMemberUniqueName="[fct_Shipments].[Warehouse_ID].[All]" allUniqueName="[fct_Shipments].[Warehouse_ID].[All]" dimensionUniqueName="[fct_Shipments]" displayFolder="" count="0" memberValueDatatype="130" unbalanced="0"/>
    <cacheHierarchy uniqueName="[fct_Shipments].[Carrier_ID]" caption="Carrier_ID" attribute="1" defaultMemberUniqueName="[fct_Shipments].[Carrier_ID].[All]" allUniqueName="[fct_Shipments].[Carrier_ID].[All]" dimensionUniqueName="[fct_Shipments]" displayFolder="" count="0" memberValueDatatype="130" unbalanced="0"/>
    <cacheHierarchy uniqueName="[fct_Shipments].[Promised_Ship_Date]" caption="Promised_Ship_Date" attribute="1" time="1" defaultMemberUniqueName="[fct_Shipments].[Promised_Ship_Date].[All]" allUniqueName="[fct_Shipments].[Promised_Ship_Date].[All]" dimensionUniqueName="[fct_Shipments]" displayFolder="" count="0" memberValueDatatype="7" unbalanced="0"/>
    <cacheHierarchy uniqueName="[fct_Shipments].[Actual_Ship_Date]" caption="Actual_Ship_Date" attribute="1" time="1" defaultMemberUniqueName="[fct_Shipments].[Actual_Ship_Date].[All]" allUniqueName="[fct_Shipments].[Actual_Ship_Date].[All]" dimensionUniqueName="[fct_Shipments]" displayFolder="" count="0" memberValueDatatype="7" unbalanced="0"/>
    <cacheHierarchy uniqueName="[fct_Shipments].[Shipment_Weight_Lbs]" caption="Shipment_Weight_Lbs" attribute="1" defaultMemberUniqueName="[fct_Shipments].[Shipment_Weight_Lbs].[All]" allUniqueName="[fct_Shipments].[Shipment_Weight_Lbs].[All]" dimensionUniqueName="[fct_Shipments]" displayFolder="" count="0" memberValueDatatype="20" unbalanced="0"/>
    <cacheHierarchy uniqueName="[fct_Shipments].[Freight_Cost]" caption="Freight_Cost" attribute="1" defaultMemberUniqueName="[fct_Shipments].[Freight_Cost].[All]" allUniqueName="[fct_Shipments].[Freight_Cost].[All]" dimensionUniqueName="[fct_Shipments]" displayFolder="" count="0" memberValueDatatype="5" unbalanced="0"/>
    <cacheHierarchy uniqueName="[fct_Shipments].[Cost_Per_lb]" caption="Cost_Per_lb" attribute="1" defaultMemberUniqueName="[fct_Shipments].[Cost_Per_lb].[All]" allUniqueName="[fct_Shipments].[Cost_Per_lb].[All]" dimensionUniqueName="[fct_Shipments]" displayFolder="" count="0" memberValueDatatype="5" unbalanced="0"/>
    <cacheHierarchy uniqueName="[fct_Shipments].[Delay_Days]" caption="Delay_Days" attribute="1" defaultMemberUniqueName="[fct_Shipments].[Delay_Days].[All]" allUniqueName="[fct_Shipments].[Delay_Days].[All]" dimensionUniqueName="[fct_Shipments]" displayFolder="" count="0" memberValueDatatype="20" unbalanced="0"/>
    <cacheHierarchy uniqueName="[fct_Shipments].[Is_OnTime]" caption="Is_OnTime" attribute="1" defaultMemberUniqueName="[fct_Shipments].[Is_OnTime].[All]" allUniqueName="[fct_Shipments].[Is_OnTime].[All]" dimensionUniqueName="[fct_Shipments]" displayFolder="" count="0" memberValueDatatype="130" unbalanced="0"/>
    <cacheHierarchy uniqueName="[fct_Shipments].[Delivery_Status]" caption="Delivery_Status" attribute="1" defaultMemberUniqueName="[fct_Shipments].[Delivery_Status].[All]" allUniqueName="[fct_Shipments].[Delivery_Status].[All]" dimensionUniqueName="[fct_Shipments]" displayFolder="" count="0" memberValueDatatype="130" unbalanced="0"/>
    <cacheHierarchy uniqueName="[fct_Shipments].[Order_Month (Year)]" caption="Order_Month (Year)" attribute="1" defaultMemberUniqueName="[fct_Shipments].[Order_Month (Year)].[All]" allUniqueName="[fct_Shipments].[Order_Month (Year)].[All]" dimensionUniqueName="[fct_Shipments]" displayFolder="" count="0" memberValueDatatype="130" unbalanced="0"/>
    <cacheHierarchy uniqueName="[fct_Shipments].[Order_Month (Quarter)]" caption="Order_Month (Quarter)" attribute="1" defaultMemberUniqueName="[fct_Shipments].[Order_Month (Quarter)].[All]" allUniqueName="[fct_Shipments].[Order_Month (Quarter)].[All]" dimensionUniqueName="[fct_Shipments]" displayFolder="" count="0" memberValueDatatype="130" unbalanced="0"/>
    <cacheHierarchy uniqueName="[fct_Shipments].[Order_Month (Month)]" caption="Order_Month (Month)" attribute="1" defaultMemberUniqueName="[fct_Shipments].[Order_Month (Month)].[All]" allUniqueName="[fct_Shipments].[Order_Month (Month)].[All]" dimensionUniqueName="[fct_Shipments]" displayFolder="" count="2" memberValueDatatype="130" unbalanced="0">
      <fieldsUsage count="2">
        <fieldUsage x="-1"/>
        <fieldUsage x="6"/>
      </fieldsUsage>
    </cacheHierarchy>
    <cacheHierarchy uniqueName="[fct_Shipments].[Order_Date (Year)]" caption="Order_Date (Year)" attribute="1" defaultMemberUniqueName="[fct_Shipments].[Order_Date (Year)].[All]" allUniqueName="[fct_Shipments].[Order_Date (Year)].[All]" dimensionUniqueName="[fct_Shipments]" displayFolder="" count="2" memberValueDatatype="130" unbalanced="0"/>
    <cacheHierarchy uniqueName="[fct_Shipments].[Order_Date (Quarter)]" caption="Order_Date (Quarter)" attribute="1" defaultMemberUniqueName="[fct_Shipments].[Order_Date (Quarter)].[All]" allUniqueName="[fct_Shipments].[Order_Date (Quarter)].[All]" dimensionUniqueName="[fct_Shipments]" displayFolder="" count="0" memberValueDatatype="130" unbalanced="0"/>
    <cacheHierarchy uniqueName="[fct_Shipments].[Order_Date (Month)]" caption="Order_Date (Month)" attribute="1" defaultMemberUniqueName="[fct_Shipments].[Order_Date (Month)].[All]" allUniqueName="[fct_Shipments].[Order_Date (Month)].[All]" dimensionUniqueName="[fct_Shipments]" displayFolder="" count="2" memberValueDatatype="130" unbalanced="0"/>
    <cacheHierarchy uniqueName="[fct_Shipments].[Order_Date (Month Index)]" caption="Order_Date (Month Index)" attribute="1" defaultMemberUniqueName="[fct_Shipments].[Order_Date (Month Index)].[All]" allUniqueName="[fct_Shipments].[Order_Date (Month Index)].[All]" dimensionUniqueName="[fct_Shipments]" displayFolder="" count="0" memberValueDatatype="20" unbalanced="0" hidden="1"/>
    <cacheHierarchy uniqueName="[fct_Shipments].[Order_Month (Month Index)]" caption="Order_Month (Month Index)" attribute="1" defaultMemberUniqueName="[fct_Shipments].[Order_Month (Month Index)].[All]" allUniqueName="[fct_Shipments].[Order_Month (Month Index)].[All]" dimensionUniqueName="[fct_Shipments]" displayFolder="" count="0" memberValueDatatype="20" unbalanced="0" hidden="1"/>
    <cacheHierarchy uniqueName="[Measures].[Total Shipments]" caption="Total Shipments" measure="1" displayFolder="" measureGroup="fct_Shipments" count="0"/>
    <cacheHierarchy uniqueName="[Measures].[On-Time Shipments]" caption="On-Time Shipments" measure="1" displayFolder="" measureGroup="fct_Shipments" count="0"/>
    <cacheHierarchy uniqueName="[Measures].[SLA Breached Shipments]" caption="SLA Breached Shipments" measure="1" displayFolder="" measureGroup="fct_Shipments" count="0" oneField="1">
      <fieldsUsage count="1">
        <fieldUsage x="2"/>
      </fieldsUsage>
    </cacheHierarchy>
    <cacheHierarchy uniqueName="[Measures].[SLA Compliance Rate]" caption="SLA Compliance Rate" measure="1" displayFolder="" measureGroup="fct_Shipments" count="0" oneField="1">
      <fieldsUsage count="1">
        <fieldUsage x="0"/>
      </fieldsUsage>
    </cacheHierarchy>
    <cacheHierarchy uniqueName="[Measures].[SLA Target Gap]" caption="SLA Target Gap" measure="1" displayFolder="" measureGroup="fct_Shipments" count="0" oneField="1">
      <fieldsUsage count="1">
        <fieldUsage x="1"/>
      </fieldsUsage>
    </cacheHierarchy>
    <cacheHierarchy uniqueName="[Measures].[Total Breach Days]" caption="Total Breach Days" measure="1" displayFolder="" measureGroup="fct_Shipments" count="0"/>
    <cacheHierarchy uniqueName="[Measures].[Avg Delay When Late]" caption="Avg Delay When Late" measure="1" displayFolder="" measureGroup="fct_Shipments" count="0" oneField="1">
      <fieldsUsage count="1">
        <fieldUsage x="4"/>
      </fieldsUsage>
    </cacheHierarchy>
    <cacheHierarchy uniqueName="[Measures].[Avg Schedule Variance]" caption="Avg Schedule Variance" measure="1" displayFolder="" measureGroup="fct_Shipments" count="0"/>
    <cacheHierarchy uniqueName="[Measures].[Total Freight Cost]" caption="Total Freight Cost" measure="1" displayFolder="" measureGroup="fct_Shipments" count="0" oneField="1">
      <fieldsUsage count="1">
        <fieldUsage x="3"/>
      </fieldsUsage>
    </cacheHierarchy>
    <cacheHierarchy uniqueName="[Measures].[Total Weight]" caption="Total Weight" measure="1" displayFolder="" measureGroup="fct_Shipments" count="0"/>
    <cacheHierarchy uniqueName="[Measures].[Freight Cost Per Lb]" caption="Freight Cost Per Lb" measure="1" displayFolder="" measureGroup="fct_Shipments" count="0"/>
    <cacheHierarchy uniqueName="[Measures].[Avg Order Freight Cost]" caption="Avg Order Freight Cost" measure="1" displayFolder="" measureGroup="fct_Shipments" count="0"/>
    <cacheHierarchy uniqueName="[Measures].[Modeled Penalty Exposure]" caption="Modeled Penalty Exposure" measure="1" displayFolder="" measureGroup="fct_Shipments" count="0" oneField="1">
      <fieldsUsage count="1">
        <fieldUsage x="5"/>
      </fieldsUsage>
    </cacheHierarchy>
    <cacheHierarchy uniqueName="[Measures].[__XL_Count dim_Carriers]" caption="__XL_Count dim_Carriers" measure="1" displayFolder="" measureGroup="dim_Carriers" count="0" hidden="1"/>
    <cacheHierarchy uniqueName="[Measures].[__XL_Count dim_Warehouses]" caption="__XL_Count dim_Warehouses" measure="1" displayFolder="" measureGroup="dim_Warehouses" count="0" hidden="1"/>
    <cacheHierarchy uniqueName="[Measures].[__XL_Count fct_Shipments]" caption="__XL_Count fct_Shipments" measure="1" displayFolder="" measureGroup="fct_Shipments" count="0" hidden="1"/>
    <cacheHierarchy uniqueName="[Measures].[__No measures defined]" caption="__No measures defined" measure="1" displayFolder="" count="0" hidden="1"/>
  </cacheHierarchies>
  <kpis count="0"/>
  <dimensions count="4">
    <dimension name="dim_Carriers" uniqueName="[dim_Carriers]" caption="dim_Carriers"/>
    <dimension name="dim_Warehouses" uniqueName="[dim_Warehouses]" caption="dim_Warehouses"/>
    <dimension name="fct_Shipments" uniqueName="[fct_Shipments]" caption="fct_Shipments"/>
    <dimension measure="1" name="Measures" uniqueName="[Measures]" caption="Measures"/>
  </dimensions>
  <measureGroups count="3">
    <measureGroup name="dim_Carriers" caption="dim_Carriers"/>
    <measureGroup name="dim_Warehouses" caption="dim_Warehouses"/>
    <measureGroup name="fct_Shipments" caption="fct_Shipmen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h Nguyen" refreshedDate="46237.443411574073" backgroundQuery="1" createdVersion="8" refreshedVersion="8" minRefreshableVersion="3" recordCount="0" supportSubquery="1" supportAdvancedDrill="1" xr:uid="{DD015B9E-42F1-41E9-9ED2-932C7F49F4CD}">
  <cacheSource type="external" connectionId="4"/>
  <cacheFields count="7">
    <cacheField name="[dim_Carriers].[Carrier_Name].[Carrier_Name]" caption="Carrier_Name" numFmtId="0" hierarchy="1" level="1">
      <sharedItems count="5">
        <s v="Apex Freight"/>
        <s v="FreightPulse"/>
        <s v="RailLink Logistics"/>
        <s v="Swift Express"/>
        <s v="Velocity Transport"/>
      </sharedItems>
    </cacheField>
    <cacheField name="[Measures].[Total Shipments]" caption="Total Shipments" numFmtId="0" hierarchy="30" level="32767"/>
    <cacheField name="[Measures].[SLA Breached Shipments]" caption="SLA Breached Shipments" numFmtId="0" hierarchy="32" level="32767"/>
    <cacheField name="[Measures].[SLA Compliance Rate]" caption="SLA Compliance Rate" numFmtId="0" hierarchy="33" level="32767"/>
    <cacheField name="[Measures].[Avg Delay When Late]" caption="Avg Delay When Late" numFmtId="0" hierarchy="36" level="32767"/>
    <cacheField name="[Measures].[Freight Cost Per Lb]" caption="Freight Cost Per Lb" numFmtId="0" hierarchy="40" level="32767"/>
    <cacheField name="[dim_Warehouses].[Region].[Region]" caption="Region" numFmtId="0" hierarchy="6" level="1">
      <sharedItems containsSemiMixedTypes="0" containsNonDate="0" containsString="0"/>
    </cacheField>
  </cacheFields>
  <cacheHierarchies count="47">
    <cacheHierarchy uniqueName="[dim_Carriers].[Carrier_ID]" caption="Carrier_ID" attribute="1" defaultMemberUniqueName="[dim_Carriers].[Carrier_ID].[All]" allUniqueName="[dim_Carriers].[Carrier_ID].[All]" dimensionUniqueName="[dim_Carriers]" displayFolder="" count="0" memberValueDatatype="130" unbalanced="0"/>
    <cacheHierarchy uniqueName="[dim_Carriers].[Carrier_Name]" caption="Carrier_Name" attribute="1" defaultMemberUniqueName="[dim_Carriers].[Carrier_Name].[All]" allUniqueName="[dim_Carriers].[Carrier_Name].[All]" dimensionUniqueName="[dim_Carriers]" displayFolder="" count="2" memberValueDatatype="130" unbalanced="0">
      <fieldsUsage count="2">
        <fieldUsage x="-1"/>
        <fieldUsage x="0"/>
      </fieldsUsage>
    </cacheHierarchy>
    <cacheHierarchy uniqueName="[dim_Carriers].[SLA_Target_Days]" caption="SLA_Target_Days" attribute="1" defaultMemberUniqueName="[dim_Carriers].[SLA_Target_Days].[All]" allUniqueName="[dim_Carriers].[SLA_Target_Days].[All]" dimensionUniqueName="[dim_Carriers]" displayFolder="" count="0" memberValueDatatype="20" unbalanced="0"/>
    <cacheHierarchy uniqueName="[dim_Carriers].[Base_Cost_Per_Shipment]" caption="Base_Cost_Per_Shipment" attribute="1" defaultMemberUniqueName="[dim_Carriers].[Base_Cost_Per_Shipment].[All]" allUniqueName="[dim_Carriers].[Base_Cost_Per_Shipment].[All]" dimensionUniqueName="[dim_Carriers]" displayFolder="" count="0" memberValueDatatype="5" unbalanced="0"/>
    <cacheHierarchy uniqueName="[dim_Warehouses].[Warehouse_ID]" caption="Warehouse_ID" attribute="1" defaultMemberUniqueName="[dim_Warehouses].[Warehouse_ID].[All]" allUniqueName="[dim_Warehouses].[Warehouse_ID].[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2" memberValueDatatype="130" unbalanced="0">
      <fieldsUsage count="2">
        <fieldUsage x="-1"/>
        <fieldUsage x="6"/>
      </fieldsUsage>
    </cacheHierarchy>
    <cacheHierarchy uniqueName="[dim_Warehouses].[Max_Capacity_Units]" caption="Max_Capacity_Units" attribute="1" defaultMemberUniqueName="[dim_Warehouses].[Max_Capacity_Units].[All]" allUniqueName="[dim_Warehouses].[Max_Capacity_Units].[All]" dimensionUniqueName="[dim_Warehouses]" displayFolder="" count="0" memberValueDatatype="20" unbalanced="0"/>
    <cacheHierarchy uniqueName="[dim_Warehouses].[Handling_Cost_Per_Unit]" caption="Handling_Cost_Per_Unit" attribute="1" defaultMemberUniqueName="[dim_Warehouses].[Handling_Cost_Per_Unit].[All]" allUniqueName="[dim_Warehouses].[Handling_Cost_Per_Unit].[All]" dimensionUniqueName="[dim_Warehouses]" displayFolder="" count="0" memberValueDatatype="5" unbalanced="0"/>
    <cacheHierarchy uniqueName="[fct_Shipments].[Shipment_ID]" caption="Shipment_ID" attribute="1" defaultMemberUniqueName="[fct_Shipments].[Shipment_ID].[All]" allUniqueName="[fct_Shipments].[Shipment_ID].[All]" dimensionUniqueName="[fct_Shipments]" displayFolder="" count="0" memberValueDatatype="130" unbalanced="0"/>
    <cacheHierarchy uniqueName="[fct_Shipments].[Order_Date]" caption="Order_Date" attribute="1" time="1" defaultMemberUniqueName="[fct_Shipments].[Order_Date].[All]" allUniqueName="[fct_Shipments].[Order_Date].[All]" dimensionUniqueName="[fct_Shipments]" displayFolder="" count="0" memberValueDatatype="7" unbalanced="0"/>
    <cacheHierarchy uniqueName="[fct_Shipments].[Order_Month]" caption="Order_Month" attribute="1" time="1" defaultMemberUniqueName="[fct_Shipments].[Order_Month].[All]" allUniqueName="[fct_Shipments].[Order_Month].[All]" dimensionUniqueName="[fct_Shipments]" displayFolder="" count="0" memberValueDatatype="7" unbalanced="0"/>
    <cacheHierarchy uniqueName="[fct_Shipments].[Warehouse_ID]" caption="Warehouse_ID" attribute="1" defaultMemberUniqueName="[fct_Shipments].[Warehouse_ID].[All]" allUniqueName="[fct_Shipments].[Warehouse_ID].[All]" dimensionUniqueName="[fct_Shipments]" displayFolder="" count="0" memberValueDatatype="130" unbalanced="0"/>
    <cacheHierarchy uniqueName="[fct_Shipments].[Carrier_ID]" caption="Carrier_ID" attribute="1" defaultMemberUniqueName="[fct_Shipments].[Carrier_ID].[All]" allUniqueName="[fct_Shipments].[Carrier_ID].[All]" dimensionUniqueName="[fct_Shipments]" displayFolder="" count="0" memberValueDatatype="130" unbalanced="0"/>
    <cacheHierarchy uniqueName="[fct_Shipments].[Promised_Ship_Date]" caption="Promised_Ship_Date" attribute="1" time="1" defaultMemberUniqueName="[fct_Shipments].[Promised_Ship_Date].[All]" allUniqueName="[fct_Shipments].[Promised_Ship_Date].[All]" dimensionUniqueName="[fct_Shipments]" displayFolder="" count="0" memberValueDatatype="7" unbalanced="0"/>
    <cacheHierarchy uniqueName="[fct_Shipments].[Actual_Ship_Date]" caption="Actual_Ship_Date" attribute="1" time="1" defaultMemberUniqueName="[fct_Shipments].[Actual_Ship_Date].[All]" allUniqueName="[fct_Shipments].[Actual_Ship_Date].[All]" dimensionUniqueName="[fct_Shipments]" displayFolder="" count="0" memberValueDatatype="7" unbalanced="0"/>
    <cacheHierarchy uniqueName="[fct_Shipments].[Shipment_Weight_Lbs]" caption="Shipment_Weight_Lbs" attribute="1" defaultMemberUniqueName="[fct_Shipments].[Shipment_Weight_Lbs].[All]" allUniqueName="[fct_Shipments].[Shipment_Weight_Lbs].[All]" dimensionUniqueName="[fct_Shipments]" displayFolder="" count="0" memberValueDatatype="20" unbalanced="0"/>
    <cacheHierarchy uniqueName="[fct_Shipments].[Freight_Cost]" caption="Freight_Cost" attribute="1" defaultMemberUniqueName="[fct_Shipments].[Freight_Cost].[All]" allUniqueName="[fct_Shipments].[Freight_Cost].[All]" dimensionUniqueName="[fct_Shipments]" displayFolder="" count="0" memberValueDatatype="5" unbalanced="0"/>
    <cacheHierarchy uniqueName="[fct_Shipments].[Cost_Per_lb]" caption="Cost_Per_lb" attribute="1" defaultMemberUniqueName="[fct_Shipments].[Cost_Per_lb].[All]" allUniqueName="[fct_Shipments].[Cost_Per_lb].[All]" dimensionUniqueName="[fct_Shipments]" displayFolder="" count="0" memberValueDatatype="5" unbalanced="0"/>
    <cacheHierarchy uniqueName="[fct_Shipments].[Delay_Days]" caption="Delay_Days" attribute="1" defaultMemberUniqueName="[fct_Shipments].[Delay_Days].[All]" allUniqueName="[fct_Shipments].[Delay_Days].[All]" dimensionUniqueName="[fct_Shipments]" displayFolder="" count="0" memberValueDatatype="20" unbalanced="0"/>
    <cacheHierarchy uniqueName="[fct_Shipments].[Is_OnTime]" caption="Is_OnTime" attribute="1" defaultMemberUniqueName="[fct_Shipments].[Is_OnTime].[All]" allUniqueName="[fct_Shipments].[Is_OnTime].[All]" dimensionUniqueName="[fct_Shipments]" displayFolder="" count="0" memberValueDatatype="130" unbalanced="0"/>
    <cacheHierarchy uniqueName="[fct_Shipments].[Delivery_Status]" caption="Delivery_Status" attribute="1" defaultMemberUniqueName="[fct_Shipments].[Delivery_Status].[All]" allUniqueName="[fct_Shipments].[Delivery_Status].[All]" dimensionUniqueName="[fct_Shipments]" displayFolder="" count="0" memberValueDatatype="130" unbalanced="0"/>
    <cacheHierarchy uniqueName="[fct_Shipments].[Order_Month (Year)]" caption="Order_Month (Year)" attribute="1" defaultMemberUniqueName="[fct_Shipments].[Order_Month (Year)].[All]" allUniqueName="[fct_Shipments].[Order_Month (Year)].[All]" dimensionUniqueName="[fct_Shipments]" displayFolder="" count="0" memberValueDatatype="130" unbalanced="0"/>
    <cacheHierarchy uniqueName="[fct_Shipments].[Order_Month (Quarter)]" caption="Order_Month (Quarter)" attribute="1" defaultMemberUniqueName="[fct_Shipments].[Order_Month (Quarter)].[All]" allUniqueName="[fct_Shipments].[Order_Month (Quarter)].[All]" dimensionUniqueName="[fct_Shipments]" displayFolder="" count="0" memberValueDatatype="130" unbalanced="0"/>
    <cacheHierarchy uniqueName="[fct_Shipments].[Order_Month (Month)]" caption="Order_Month (Month)" attribute="1" defaultMemberUniqueName="[fct_Shipments].[Order_Month (Month)].[All]" allUniqueName="[fct_Shipments].[Order_Month (Month)].[All]" dimensionUniqueName="[fct_Shipments]" displayFolder="" count="0" memberValueDatatype="130" unbalanced="0"/>
    <cacheHierarchy uniqueName="[fct_Shipments].[Order_Date (Year)]" caption="Order_Date (Year)" attribute="1" defaultMemberUniqueName="[fct_Shipments].[Order_Date (Year)].[All]" allUniqueName="[fct_Shipments].[Order_Date (Year)].[All]" dimensionUniqueName="[fct_Shipments]" displayFolder="" count="2" memberValueDatatype="130" unbalanced="0"/>
    <cacheHierarchy uniqueName="[fct_Shipments].[Order_Date (Quarter)]" caption="Order_Date (Quarter)" attribute="1" defaultMemberUniqueName="[fct_Shipments].[Order_Date (Quarter)].[All]" allUniqueName="[fct_Shipments].[Order_Date (Quarter)].[All]" dimensionUniqueName="[fct_Shipments]" displayFolder="" count="0" memberValueDatatype="130" unbalanced="0"/>
    <cacheHierarchy uniqueName="[fct_Shipments].[Order_Date (Month)]" caption="Order_Date (Month)" attribute="1" defaultMemberUniqueName="[fct_Shipments].[Order_Date (Month)].[All]" allUniqueName="[fct_Shipments].[Order_Date (Month)].[All]" dimensionUniqueName="[fct_Shipments]" displayFolder="" count="2" memberValueDatatype="130" unbalanced="0"/>
    <cacheHierarchy uniqueName="[fct_Shipments].[Order_Date (Month Index)]" caption="Order_Date (Month Index)" attribute="1" defaultMemberUniqueName="[fct_Shipments].[Order_Date (Month Index)].[All]" allUniqueName="[fct_Shipments].[Order_Date (Month Index)].[All]" dimensionUniqueName="[fct_Shipments]" displayFolder="" count="0" memberValueDatatype="20" unbalanced="0" hidden="1"/>
    <cacheHierarchy uniqueName="[fct_Shipments].[Order_Month (Month Index)]" caption="Order_Month (Month Index)" attribute="1" defaultMemberUniqueName="[fct_Shipments].[Order_Month (Month Index)].[All]" allUniqueName="[fct_Shipments].[Order_Month (Month Index)].[All]" dimensionUniqueName="[fct_Shipments]" displayFolder="" count="0" memberValueDatatype="20" unbalanced="0" hidden="1"/>
    <cacheHierarchy uniqueName="[Measures].[Total Shipments]" caption="Total Shipments" measure="1" displayFolder="" measureGroup="fct_Shipments" count="0" oneField="1">
      <fieldsUsage count="1">
        <fieldUsage x="1"/>
      </fieldsUsage>
    </cacheHierarchy>
    <cacheHierarchy uniqueName="[Measures].[On-Time Shipments]" caption="On-Time Shipments" measure="1" displayFolder="" measureGroup="fct_Shipments" count="0"/>
    <cacheHierarchy uniqueName="[Measures].[SLA Breached Shipments]" caption="SLA Breached Shipments" measure="1" displayFolder="" measureGroup="fct_Shipments" count="0" oneField="1">
      <fieldsUsage count="1">
        <fieldUsage x="2"/>
      </fieldsUsage>
    </cacheHierarchy>
    <cacheHierarchy uniqueName="[Measures].[SLA Compliance Rate]" caption="SLA Compliance Rate" measure="1" displayFolder="" measureGroup="fct_Shipments" count="0" oneField="1">
      <fieldsUsage count="1">
        <fieldUsage x="3"/>
      </fieldsUsage>
    </cacheHierarchy>
    <cacheHierarchy uniqueName="[Measures].[SLA Target Gap]" caption="SLA Target Gap" measure="1" displayFolder="" measureGroup="fct_Shipments" count="0"/>
    <cacheHierarchy uniqueName="[Measures].[Total Breach Days]" caption="Total Breach Days" measure="1" displayFolder="" measureGroup="fct_Shipments" count="0"/>
    <cacheHierarchy uniqueName="[Measures].[Avg Delay When Late]" caption="Avg Delay When Late" measure="1" displayFolder="" measureGroup="fct_Shipments" count="0" oneField="1">
      <fieldsUsage count="1">
        <fieldUsage x="4"/>
      </fieldsUsage>
    </cacheHierarchy>
    <cacheHierarchy uniqueName="[Measures].[Avg Schedule Variance]" caption="Avg Schedule Variance" measure="1" displayFolder="" measureGroup="fct_Shipments" count="0"/>
    <cacheHierarchy uniqueName="[Measures].[Total Freight Cost]" caption="Total Freight Cost" measure="1" displayFolder="" measureGroup="fct_Shipments" count="0"/>
    <cacheHierarchy uniqueName="[Measures].[Total Weight]" caption="Total Weight" measure="1" displayFolder="" measureGroup="fct_Shipments" count="0"/>
    <cacheHierarchy uniqueName="[Measures].[Freight Cost Per Lb]" caption="Freight Cost Per Lb" measure="1" displayFolder="" measureGroup="fct_Shipments" count="0" oneField="1">
      <fieldsUsage count="1">
        <fieldUsage x="5"/>
      </fieldsUsage>
    </cacheHierarchy>
    <cacheHierarchy uniqueName="[Measures].[Avg Order Freight Cost]" caption="Avg Order Freight Cost" measure="1" displayFolder="" measureGroup="fct_Shipments" count="0"/>
    <cacheHierarchy uniqueName="[Measures].[Modeled Penalty Exposure]" caption="Modeled Penalty Exposure" measure="1" displayFolder="" measureGroup="fct_Shipments" count="0"/>
    <cacheHierarchy uniqueName="[Measures].[__XL_Count dim_Carriers]" caption="__XL_Count dim_Carriers" measure="1" displayFolder="" measureGroup="dim_Carriers" count="0" hidden="1"/>
    <cacheHierarchy uniqueName="[Measures].[__XL_Count dim_Warehouses]" caption="__XL_Count dim_Warehouses" measure="1" displayFolder="" measureGroup="dim_Warehouses" count="0" hidden="1"/>
    <cacheHierarchy uniqueName="[Measures].[__XL_Count fct_Shipments]" caption="__XL_Count fct_Shipments" measure="1" displayFolder="" measureGroup="fct_Shipments" count="0" hidden="1"/>
    <cacheHierarchy uniqueName="[Measures].[__No measures defined]" caption="__No measures defined" measure="1" displayFolder="" count="0" hidden="1"/>
  </cacheHierarchies>
  <kpis count="0"/>
  <dimensions count="4">
    <dimension name="dim_Carriers" uniqueName="[dim_Carriers]" caption="dim_Carriers"/>
    <dimension name="dim_Warehouses" uniqueName="[dim_Warehouses]" caption="dim_Warehouses"/>
    <dimension name="fct_Shipments" uniqueName="[fct_Shipments]" caption="fct_Shipments"/>
    <dimension measure="1" name="Measures" uniqueName="[Measures]" caption="Measures"/>
  </dimensions>
  <measureGroups count="3">
    <measureGroup name="dim_Carriers" caption="dim_Carriers"/>
    <measureGroup name="dim_Warehouses" caption="dim_Warehouses"/>
    <measureGroup name="fct_Shipments" caption="fct_Shipmen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h Nguyen" refreshedDate="46237.443412037035" backgroundQuery="1" createdVersion="8" refreshedVersion="8" minRefreshableVersion="3" recordCount="0" supportSubquery="1" supportAdvancedDrill="1" xr:uid="{A01CDAAC-84BC-442B-85C4-6FDA8CD0D3B6}">
  <cacheSource type="external" connectionId="4"/>
  <cacheFields count="4">
    <cacheField name="[dim_Warehouses].[Warehouse_Name].[Warehouse_Name]" caption="Warehouse_Name" numFmtId="0" hierarchy="5" level="1">
      <sharedItems count="6">
        <s v="Atlanta Fulfillment Hub"/>
        <s v="Columbus Regional Depot"/>
        <s v="Dallas Consolidation Center"/>
        <s v="Newark Distribution Center"/>
        <s v="Reno Cross-Dock Facility"/>
        <s v="Tacoma Coastal Warehouse"/>
      </sharedItems>
    </cacheField>
    <cacheField name="[fct_Shipments].[Delivery_Status].[Delivery_Status]" caption="Delivery_Status" numFmtId="0" hierarchy="21" level="1">
      <sharedItems count="3">
        <s v="Minor Delay"/>
        <s v="On-Time"/>
        <s v="SLA Breach"/>
      </sharedItems>
    </cacheField>
    <cacheField name="[Measures].[Total Shipments]" caption="Total Shipments" numFmtId="0" hierarchy="30" level="32767"/>
    <cacheField name="[dim_Warehouses].[Region].[Region]" caption="Region" numFmtId="0" hierarchy="6" level="1">
      <sharedItems containsSemiMixedTypes="0" containsNonDate="0" containsString="0"/>
    </cacheField>
  </cacheFields>
  <cacheHierarchies count="47">
    <cacheHierarchy uniqueName="[dim_Carriers].[Carrier_ID]" caption="Carrier_ID" attribute="1" defaultMemberUniqueName="[dim_Carriers].[Carrier_ID].[All]" allUniqueName="[dim_Carriers].[Carrier_ID].[All]" dimensionUniqueName="[dim_Carriers]" displayFolder="" count="0" memberValueDatatype="130" unbalanced="0"/>
    <cacheHierarchy uniqueName="[dim_Carriers].[Carrier_Name]" caption="Carrier_Name" attribute="1" defaultMemberUniqueName="[dim_Carriers].[Carrier_Name].[All]" allUniqueName="[dim_Carriers].[Carrier_Name].[All]" dimensionUniqueName="[dim_Carriers]" displayFolder="" count="2" memberValueDatatype="130" unbalanced="0"/>
    <cacheHierarchy uniqueName="[dim_Carriers].[SLA_Target_Days]" caption="SLA_Target_Days" attribute="1" defaultMemberUniqueName="[dim_Carriers].[SLA_Target_Days].[All]" allUniqueName="[dim_Carriers].[SLA_Target_Days].[All]" dimensionUniqueName="[dim_Carriers]" displayFolder="" count="0" memberValueDatatype="20" unbalanced="0"/>
    <cacheHierarchy uniqueName="[dim_Carriers].[Base_Cost_Per_Shipment]" caption="Base_Cost_Per_Shipment" attribute="1" defaultMemberUniqueName="[dim_Carriers].[Base_Cost_Per_Shipment].[All]" allUniqueName="[dim_Carriers].[Base_Cost_Per_Shipment].[All]" dimensionUniqueName="[dim_Carriers]" displayFolder="" count="0" memberValueDatatype="5" unbalanced="0"/>
    <cacheHierarchy uniqueName="[dim_Warehouses].[Warehouse_ID]" caption="Warehouse_ID" attribute="1" defaultMemberUniqueName="[dim_Warehouses].[Warehouse_ID].[All]" allUniqueName="[dim_Warehouses].[Warehouse_ID].[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2" memberValueDatatype="130" unbalanced="0">
      <fieldsUsage count="2">
        <fieldUsage x="-1"/>
        <fieldUsage x="0"/>
      </fieldsUsage>
    </cacheHierarchy>
    <cacheHierarchy uniqueName="[dim_Warehouses].[Region]" caption="Region" attribute="1" defaultMemberUniqueName="[dim_Warehouses].[Region].[All]" allUniqueName="[dim_Warehouses].[Region].[All]" dimensionUniqueName="[dim_Warehouses]" displayFolder="" count="2" memberValueDatatype="130" unbalanced="0">
      <fieldsUsage count="2">
        <fieldUsage x="-1"/>
        <fieldUsage x="3"/>
      </fieldsUsage>
    </cacheHierarchy>
    <cacheHierarchy uniqueName="[dim_Warehouses].[Max_Capacity_Units]" caption="Max_Capacity_Units" attribute="1" defaultMemberUniqueName="[dim_Warehouses].[Max_Capacity_Units].[All]" allUniqueName="[dim_Warehouses].[Max_Capacity_Units].[All]" dimensionUniqueName="[dim_Warehouses]" displayFolder="" count="0" memberValueDatatype="20" unbalanced="0"/>
    <cacheHierarchy uniqueName="[dim_Warehouses].[Handling_Cost_Per_Unit]" caption="Handling_Cost_Per_Unit" attribute="1" defaultMemberUniqueName="[dim_Warehouses].[Handling_Cost_Per_Unit].[All]" allUniqueName="[dim_Warehouses].[Handling_Cost_Per_Unit].[All]" dimensionUniqueName="[dim_Warehouses]" displayFolder="" count="0" memberValueDatatype="5" unbalanced="0"/>
    <cacheHierarchy uniqueName="[fct_Shipments].[Shipment_ID]" caption="Shipment_ID" attribute="1" defaultMemberUniqueName="[fct_Shipments].[Shipment_ID].[All]" allUniqueName="[fct_Shipments].[Shipment_ID].[All]" dimensionUniqueName="[fct_Shipments]" displayFolder="" count="0" memberValueDatatype="130" unbalanced="0"/>
    <cacheHierarchy uniqueName="[fct_Shipments].[Order_Date]" caption="Order_Date" attribute="1" time="1" defaultMemberUniqueName="[fct_Shipments].[Order_Date].[All]" allUniqueName="[fct_Shipments].[Order_Date].[All]" dimensionUniqueName="[fct_Shipments]" displayFolder="" count="0" memberValueDatatype="7" unbalanced="0"/>
    <cacheHierarchy uniqueName="[fct_Shipments].[Order_Month]" caption="Order_Month" attribute="1" time="1" defaultMemberUniqueName="[fct_Shipments].[Order_Month].[All]" allUniqueName="[fct_Shipments].[Order_Month].[All]" dimensionUniqueName="[fct_Shipments]" displayFolder="" count="0" memberValueDatatype="7" unbalanced="0"/>
    <cacheHierarchy uniqueName="[fct_Shipments].[Warehouse_ID]" caption="Warehouse_ID" attribute="1" defaultMemberUniqueName="[fct_Shipments].[Warehouse_ID].[All]" allUniqueName="[fct_Shipments].[Warehouse_ID].[All]" dimensionUniqueName="[fct_Shipments]" displayFolder="" count="0" memberValueDatatype="130" unbalanced="0"/>
    <cacheHierarchy uniqueName="[fct_Shipments].[Carrier_ID]" caption="Carrier_ID" attribute="1" defaultMemberUniqueName="[fct_Shipments].[Carrier_ID].[All]" allUniqueName="[fct_Shipments].[Carrier_ID].[All]" dimensionUniqueName="[fct_Shipments]" displayFolder="" count="0" memberValueDatatype="130" unbalanced="0"/>
    <cacheHierarchy uniqueName="[fct_Shipments].[Promised_Ship_Date]" caption="Promised_Ship_Date" attribute="1" time="1" defaultMemberUniqueName="[fct_Shipments].[Promised_Ship_Date].[All]" allUniqueName="[fct_Shipments].[Promised_Ship_Date].[All]" dimensionUniqueName="[fct_Shipments]" displayFolder="" count="0" memberValueDatatype="7" unbalanced="0"/>
    <cacheHierarchy uniqueName="[fct_Shipments].[Actual_Ship_Date]" caption="Actual_Ship_Date" attribute="1" time="1" defaultMemberUniqueName="[fct_Shipments].[Actual_Ship_Date].[All]" allUniqueName="[fct_Shipments].[Actual_Ship_Date].[All]" dimensionUniqueName="[fct_Shipments]" displayFolder="" count="0" memberValueDatatype="7" unbalanced="0"/>
    <cacheHierarchy uniqueName="[fct_Shipments].[Shipment_Weight_Lbs]" caption="Shipment_Weight_Lbs" attribute="1" defaultMemberUniqueName="[fct_Shipments].[Shipment_Weight_Lbs].[All]" allUniqueName="[fct_Shipments].[Shipment_Weight_Lbs].[All]" dimensionUniqueName="[fct_Shipments]" displayFolder="" count="0" memberValueDatatype="20" unbalanced="0"/>
    <cacheHierarchy uniqueName="[fct_Shipments].[Freight_Cost]" caption="Freight_Cost" attribute="1" defaultMemberUniqueName="[fct_Shipments].[Freight_Cost].[All]" allUniqueName="[fct_Shipments].[Freight_Cost].[All]" dimensionUniqueName="[fct_Shipments]" displayFolder="" count="0" memberValueDatatype="5" unbalanced="0"/>
    <cacheHierarchy uniqueName="[fct_Shipments].[Cost_Per_lb]" caption="Cost_Per_lb" attribute="1" defaultMemberUniqueName="[fct_Shipments].[Cost_Per_lb].[All]" allUniqueName="[fct_Shipments].[Cost_Per_lb].[All]" dimensionUniqueName="[fct_Shipments]" displayFolder="" count="0" memberValueDatatype="5" unbalanced="0"/>
    <cacheHierarchy uniqueName="[fct_Shipments].[Delay_Days]" caption="Delay_Days" attribute="1" defaultMemberUniqueName="[fct_Shipments].[Delay_Days].[All]" allUniqueName="[fct_Shipments].[Delay_Days].[All]" dimensionUniqueName="[fct_Shipments]" displayFolder="" count="0" memberValueDatatype="20" unbalanced="0"/>
    <cacheHierarchy uniqueName="[fct_Shipments].[Is_OnTime]" caption="Is_OnTime" attribute="1" defaultMemberUniqueName="[fct_Shipments].[Is_OnTime].[All]" allUniqueName="[fct_Shipments].[Is_OnTime].[All]" dimensionUniqueName="[fct_Shipments]" displayFolder="" count="0" memberValueDatatype="130" unbalanced="0"/>
    <cacheHierarchy uniqueName="[fct_Shipments].[Delivery_Status]" caption="Delivery_Status" attribute="1" defaultMemberUniqueName="[fct_Shipments].[Delivery_Status].[All]" allUniqueName="[fct_Shipments].[Delivery_Status].[All]" dimensionUniqueName="[fct_Shipments]" displayFolder="" count="2" memberValueDatatype="130" unbalanced="0">
      <fieldsUsage count="2">
        <fieldUsage x="-1"/>
        <fieldUsage x="1"/>
      </fieldsUsage>
    </cacheHierarchy>
    <cacheHierarchy uniqueName="[fct_Shipments].[Order_Month (Year)]" caption="Order_Month (Year)" attribute="1" defaultMemberUniqueName="[fct_Shipments].[Order_Month (Year)].[All]" allUniqueName="[fct_Shipments].[Order_Month (Year)].[All]" dimensionUniqueName="[fct_Shipments]" displayFolder="" count="0" memberValueDatatype="130" unbalanced="0"/>
    <cacheHierarchy uniqueName="[fct_Shipments].[Order_Month (Quarter)]" caption="Order_Month (Quarter)" attribute="1" defaultMemberUniqueName="[fct_Shipments].[Order_Month (Quarter)].[All]" allUniqueName="[fct_Shipments].[Order_Month (Quarter)].[All]" dimensionUniqueName="[fct_Shipments]" displayFolder="" count="0" memberValueDatatype="130" unbalanced="0"/>
    <cacheHierarchy uniqueName="[fct_Shipments].[Order_Month (Month)]" caption="Order_Month (Month)" attribute="1" defaultMemberUniqueName="[fct_Shipments].[Order_Month (Month)].[All]" allUniqueName="[fct_Shipments].[Order_Month (Month)].[All]" dimensionUniqueName="[fct_Shipments]" displayFolder="" count="0" memberValueDatatype="130" unbalanced="0"/>
    <cacheHierarchy uniqueName="[fct_Shipments].[Order_Date (Year)]" caption="Order_Date (Year)" attribute="1" defaultMemberUniqueName="[fct_Shipments].[Order_Date (Year)].[All]" allUniqueName="[fct_Shipments].[Order_Date (Year)].[All]" dimensionUniqueName="[fct_Shipments]" displayFolder="" count="2" memberValueDatatype="130" unbalanced="0"/>
    <cacheHierarchy uniqueName="[fct_Shipments].[Order_Date (Quarter)]" caption="Order_Date (Quarter)" attribute="1" defaultMemberUniqueName="[fct_Shipments].[Order_Date (Quarter)].[All]" allUniqueName="[fct_Shipments].[Order_Date (Quarter)].[All]" dimensionUniqueName="[fct_Shipments]" displayFolder="" count="0" memberValueDatatype="130" unbalanced="0"/>
    <cacheHierarchy uniqueName="[fct_Shipments].[Order_Date (Month)]" caption="Order_Date (Month)" attribute="1" defaultMemberUniqueName="[fct_Shipments].[Order_Date (Month)].[All]" allUniqueName="[fct_Shipments].[Order_Date (Month)].[All]" dimensionUniqueName="[fct_Shipments]" displayFolder="" count="2" memberValueDatatype="130" unbalanced="0"/>
    <cacheHierarchy uniqueName="[fct_Shipments].[Order_Date (Month Index)]" caption="Order_Date (Month Index)" attribute="1" defaultMemberUniqueName="[fct_Shipments].[Order_Date (Month Index)].[All]" allUniqueName="[fct_Shipments].[Order_Date (Month Index)].[All]" dimensionUniqueName="[fct_Shipments]" displayFolder="" count="0" memberValueDatatype="20" unbalanced="0" hidden="1"/>
    <cacheHierarchy uniqueName="[fct_Shipments].[Order_Month (Month Index)]" caption="Order_Month (Month Index)" attribute="1" defaultMemberUniqueName="[fct_Shipments].[Order_Month (Month Index)].[All]" allUniqueName="[fct_Shipments].[Order_Month (Month Index)].[All]" dimensionUniqueName="[fct_Shipments]" displayFolder="" count="0" memberValueDatatype="20" unbalanced="0" hidden="1"/>
    <cacheHierarchy uniqueName="[Measures].[Total Shipments]" caption="Total Shipments" measure="1" displayFolder="" measureGroup="fct_Shipments" count="0" oneField="1">
      <fieldsUsage count="1">
        <fieldUsage x="2"/>
      </fieldsUsage>
    </cacheHierarchy>
    <cacheHierarchy uniqueName="[Measures].[On-Time Shipments]" caption="On-Time Shipments" measure="1" displayFolder="" measureGroup="fct_Shipments" count="0"/>
    <cacheHierarchy uniqueName="[Measures].[SLA Breached Shipments]" caption="SLA Breached Shipments" measure="1" displayFolder="" measureGroup="fct_Shipments" count="0"/>
    <cacheHierarchy uniqueName="[Measures].[SLA Compliance Rate]" caption="SLA Compliance Rate" measure="1" displayFolder="" measureGroup="fct_Shipments" count="0"/>
    <cacheHierarchy uniqueName="[Measures].[SLA Target Gap]" caption="SLA Target Gap" measure="1" displayFolder="" measureGroup="fct_Shipments" count="0"/>
    <cacheHierarchy uniqueName="[Measures].[Total Breach Days]" caption="Total Breach Days" measure="1" displayFolder="" measureGroup="fct_Shipments" count="0"/>
    <cacheHierarchy uniqueName="[Measures].[Avg Delay When Late]" caption="Avg Delay When Late" measure="1" displayFolder="" measureGroup="fct_Shipments" count="0"/>
    <cacheHierarchy uniqueName="[Measures].[Avg Schedule Variance]" caption="Avg Schedule Variance" measure="1" displayFolder="" measureGroup="fct_Shipments" count="0"/>
    <cacheHierarchy uniqueName="[Measures].[Total Freight Cost]" caption="Total Freight Cost" measure="1" displayFolder="" measureGroup="fct_Shipments" count="0"/>
    <cacheHierarchy uniqueName="[Measures].[Total Weight]" caption="Total Weight" measure="1" displayFolder="" measureGroup="fct_Shipments" count="0"/>
    <cacheHierarchy uniqueName="[Measures].[Freight Cost Per Lb]" caption="Freight Cost Per Lb" measure="1" displayFolder="" measureGroup="fct_Shipments" count="0"/>
    <cacheHierarchy uniqueName="[Measures].[Avg Order Freight Cost]" caption="Avg Order Freight Cost" measure="1" displayFolder="" measureGroup="fct_Shipments" count="0"/>
    <cacheHierarchy uniqueName="[Measures].[Modeled Penalty Exposure]" caption="Modeled Penalty Exposure" measure="1" displayFolder="" measureGroup="fct_Shipments" count="0"/>
    <cacheHierarchy uniqueName="[Measures].[__XL_Count dim_Carriers]" caption="__XL_Count dim_Carriers" measure="1" displayFolder="" measureGroup="dim_Carriers" count="0" hidden="1"/>
    <cacheHierarchy uniqueName="[Measures].[__XL_Count dim_Warehouses]" caption="__XL_Count dim_Warehouses" measure="1" displayFolder="" measureGroup="dim_Warehouses" count="0" hidden="1"/>
    <cacheHierarchy uniqueName="[Measures].[__XL_Count fct_Shipments]" caption="__XL_Count fct_Shipments" measure="1" displayFolder="" measureGroup="fct_Shipments" count="0" hidden="1"/>
    <cacheHierarchy uniqueName="[Measures].[__No measures defined]" caption="__No measures defined" measure="1" displayFolder="" count="0" hidden="1"/>
  </cacheHierarchies>
  <kpis count="0"/>
  <dimensions count="4">
    <dimension name="dim_Carriers" uniqueName="[dim_Carriers]" caption="dim_Carriers"/>
    <dimension name="dim_Warehouses" uniqueName="[dim_Warehouses]" caption="dim_Warehouses"/>
    <dimension name="fct_Shipments" uniqueName="[fct_Shipments]" caption="fct_Shipments"/>
    <dimension measure="1" name="Measures" uniqueName="[Measures]" caption="Measures"/>
  </dimensions>
  <measureGroups count="3">
    <measureGroup name="dim_Carriers" caption="dim_Carriers"/>
    <measureGroup name="dim_Warehouses" caption="dim_Warehouses"/>
    <measureGroup name="fct_Shipments" caption="fct_Shipmen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h Nguyen" refreshedDate="46237.443412384258" backgroundQuery="1" createdVersion="8" refreshedVersion="8" minRefreshableVersion="3" recordCount="0" supportSubquery="1" supportAdvancedDrill="1" xr:uid="{E4C360B4-3C18-478D-8C7B-8F1CE2F08D8B}">
  <cacheSource type="external" connectionId="4"/>
  <cacheFields count="5">
    <cacheField name="[dim_Warehouses].[Region].[Region]" caption="Region" numFmtId="0" hierarchy="6" level="1">
      <sharedItems count="4">
        <s v="US-Central"/>
        <s v="US-East"/>
        <s v="US-South"/>
        <s v="US-West"/>
      </sharedItems>
    </cacheField>
    <cacheField name="[Measures].[Total Freight Cost]" caption="Total Freight Cost" numFmtId="0" hierarchy="38" level="32767"/>
    <cacheField name="[Measures].[Freight Cost Per Lb]" caption="Freight Cost Per Lb" numFmtId="0" hierarchy="40" level="32767"/>
    <cacheField name="[Measures].[SLA Compliance Rate]" caption="SLA Compliance Rate" numFmtId="0" hierarchy="33" level="32767"/>
    <cacheField name="[Measures].[Total Shipments]" caption="Total Shipments" numFmtId="0" hierarchy="30" level="32767"/>
  </cacheFields>
  <cacheHierarchies count="47">
    <cacheHierarchy uniqueName="[dim_Carriers].[Carrier_ID]" caption="Carrier_ID" attribute="1" defaultMemberUniqueName="[dim_Carriers].[Carrier_ID].[All]" allUniqueName="[dim_Carriers].[Carrier_ID].[All]" dimensionUniqueName="[dim_Carriers]" displayFolder="" count="0" memberValueDatatype="130" unbalanced="0"/>
    <cacheHierarchy uniqueName="[dim_Carriers].[Carrier_Name]" caption="Carrier_Name" attribute="1" defaultMemberUniqueName="[dim_Carriers].[Carrier_Name].[All]" allUniqueName="[dim_Carriers].[Carrier_Name].[All]" dimensionUniqueName="[dim_Carriers]" displayFolder="" count="2" memberValueDatatype="130" unbalanced="0"/>
    <cacheHierarchy uniqueName="[dim_Carriers].[SLA_Target_Days]" caption="SLA_Target_Days" attribute="1" defaultMemberUniqueName="[dim_Carriers].[SLA_Target_Days].[All]" allUniqueName="[dim_Carriers].[SLA_Target_Days].[All]" dimensionUniqueName="[dim_Carriers]" displayFolder="" count="0" memberValueDatatype="20" unbalanced="0"/>
    <cacheHierarchy uniqueName="[dim_Carriers].[Base_Cost_Per_Shipment]" caption="Base_Cost_Per_Shipment" attribute="1" defaultMemberUniqueName="[dim_Carriers].[Base_Cost_Per_Shipment].[All]" allUniqueName="[dim_Carriers].[Base_Cost_Per_Shipment].[All]" dimensionUniqueName="[dim_Carriers]" displayFolder="" count="0" memberValueDatatype="5" unbalanced="0"/>
    <cacheHierarchy uniqueName="[dim_Warehouses].[Warehouse_ID]" caption="Warehouse_ID" attribute="1" defaultMemberUniqueName="[dim_Warehouses].[Warehouse_ID].[All]" allUniqueName="[dim_Warehouses].[Warehouse_ID].[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2" memberValueDatatype="130" unbalanced="0">
      <fieldsUsage count="2">
        <fieldUsage x="-1"/>
        <fieldUsage x="0"/>
      </fieldsUsage>
    </cacheHierarchy>
    <cacheHierarchy uniqueName="[dim_Warehouses].[Max_Capacity_Units]" caption="Max_Capacity_Units" attribute="1" defaultMemberUniqueName="[dim_Warehouses].[Max_Capacity_Units].[All]" allUniqueName="[dim_Warehouses].[Max_Capacity_Units].[All]" dimensionUniqueName="[dim_Warehouses]" displayFolder="" count="0" memberValueDatatype="20" unbalanced="0"/>
    <cacheHierarchy uniqueName="[dim_Warehouses].[Handling_Cost_Per_Unit]" caption="Handling_Cost_Per_Unit" attribute="1" defaultMemberUniqueName="[dim_Warehouses].[Handling_Cost_Per_Unit].[All]" allUniqueName="[dim_Warehouses].[Handling_Cost_Per_Unit].[All]" dimensionUniqueName="[dim_Warehouses]" displayFolder="" count="0" memberValueDatatype="5" unbalanced="0"/>
    <cacheHierarchy uniqueName="[fct_Shipments].[Shipment_ID]" caption="Shipment_ID" attribute="1" defaultMemberUniqueName="[fct_Shipments].[Shipment_ID].[All]" allUniqueName="[fct_Shipments].[Shipment_ID].[All]" dimensionUniqueName="[fct_Shipments]" displayFolder="" count="0" memberValueDatatype="130" unbalanced="0"/>
    <cacheHierarchy uniqueName="[fct_Shipments].[Order_Date]" caption="Order_Date" attribute="1" time="1" defaultMemberUniqueName="[fct_Shipments].[Order_Date].[All]" allUniqueName="[fct_Shipments].[Order_Date].[All]" dimensionUniqueName="[fct_Shipments]" displayFolder="" count="0" memberValueDatatype="7" unbalanced="0"/>
    <cacheHierarchy uniqueName="[fct_Shipments].[Order_Month]" caption="Order_Month" attribute="1" time="1" defaultMemberUniqueName="[fct_Shipments].[Order_Month].[All]" allUniqueName="[fct_Shipments].[Order_Month].[All]" dimensionUniqueName="[fct_Shipments]" displayFolder="" count="0" memberValueDatatype="7" unbalanced="0"/>
    <cacheHierarchy uniqueName="[fct_Shipments].[Warehouse_ID]" caption="Warehouse_ID" attribute="1" defaultMemberUniqueName="[fct_Shipments].[Warehouse_ID].[All]" allUniqueName="[fct_Shipments].[Warehouse_ID].[All]" dimensionUniqueName="[fct_Shipments]" displayFolder="" count="0" memberValueDatatype="130" unbalanced="0"/>
    <cacheHierarchy uniqueName="[fct_Shipments].[Carrier_ID]" caption="Carrier_ID" attribute="1" defaultMemberUniqueName="[fct_Shipments].[Carrier_ID].[All]" allUniqueName="[fct_Shipments].[Carrier_ID].[All]" dimensionUniqueName="[fct_Shipments]" displayFolder="" count="0" memberValueDatatype="130" unbalanced="0"/>
    <cacheHierarchy uniqueName="[fct_Shipments].[Promised_Ship_Date]" caption="Promised_Ship_Date" attribute="1" time="1" defaultMemberUniqueName="[fct_Shipments].[Promised_Ship_Date].[All]" allUniqueName="[fct_Shipments].[Promised_Ship_Date].[All]" dimensionUniqueName="[fct_Shipments]" displayFolder="" count="0" memberValueDatatype="7" unbalanced="0"/>
    <cacheHierarchy uniqueName="[fct_Shipments].[Actual_Ship_Date]" caption="Actual_Ship_Date" attribute="1" time="1" defaultMemberUniqueName="[fct_Shipments].[Actual_Ship_Date].[All]" allUniqueName="[fct_Shipments].[Actual_Ship_Date].[All]" dimensionUniqueName="[fct_Shipments]" displayFolder="" count="0" memberValueDatatype="7" unbalanced="0"/>
    <cacheHierarchy uniqueName="[fct_Shipments].[Shipment_Weight_Lbs]" caption="Shipment_Weight_Lbs" attribute="1" defaultMemberUniqueName="[fct_Shipments].[Shipment_Weight_Lbs].[All]" allUniqueName="[fct_Shipments].[Shipment_Weight_Lbs].[All]" dimensionUniqueName="[fct_Shipments]" displayFolder="" count="0" memberValueDatatype="20" unbalanced="0"/>
    <cacheHierarchy uniqueName="[fct_Shipments].[Freight_Cost]" caption="Freight_Cost" attribute="1" defaultMemberUniqueName="[fct_Shipments].[Freight_Cost].[All]" allUniqueName="[fct_Shipments].[Freight_Cost].[All]" dimensionUniqueName="[fct_Shipments]" displayFolder="" count="0" memberValueDatatype="5" unbalanced="0"/>
    <cacheHierarchy uniqueName="[fct_Shipments].[Cost_Per_lb]" caption="Cost_Per_lb" attribute="1" defaultMemberUniqueName="[fct_Shipments].[Cost_Per_lb].[All]" allUniqueName="[fct_Shipments].[Cost_Per_lb].[All]" dimensionUniqueName="[fct_Shipments]" displayFolder="" count="0" memberValueDatatype="5" unbalanced="0"/>
    <cacheHierarchy uniqueName="[fct_Shipments].[Delay_Days]" caption="Delay_Days" attribute="1" defaultMemberUniqueName="[fct_Shipments].[Delay_Days].[All]" allUniqueName="[fct_Shipments].[Delay_Days].[All]" dimensionUniqueName="[fct_Shipments]" displayFolder="" count="0" memberValueDatatype="20" unbalanced="0"/>
    <cacheHierarchy uniqueName="[fct_Shipments].[Is_OnTime]" caption="Is_OnTime" attribute="1" defaultMemberUniqueName="[fct_Shipments].[Is_OnTime].[All]" allUniqueName="[fct_Shipments].[Is_OnTime].[All]" dimensionUniqueName="[fct_Shipments]" displayFolder="" count="0" memberValueDatatype="130" unbalanced="0"/>
    <cacheHierarchy uniqueName="[fct_Shipments].[Delivery_Status]" caption="Delivery_Status" attribute="1" defaultMemberUniqueName="[fct_Shipments].[Delivery_Status].[All]" allUniqueName="[fct_Shipments].[Delivery_Status].[All]" dimensionUniqueName="[fct_Shipments]" displayFolder="" count="0" memberValueDatatype="130" unbalanced="0"/>
    <cacheHierarchy uniqueName="[fct_Shipments].[Order_Month (Year)]" caption="Order_Month (Year)" attribute="1" defaultMemberUniqueName="[fct_Shipments].[Order_Month (Year)].[All]" allUniqueName="[fct_Shipments].[Order_Month (Year)].[All]" dimensionUniqueName="[fct_Shipments]" displayFolder="" count="0" memberValueDatatype="130" unbalanced="0"/>
    <cacheHierarchy uniqueName="[fct_Shipments].[Order_Month (Quarter)]" caption="Order_Month (Quarter)" attribute="1" defaultMemberUniqueName="[fct_Shipments].[Order_Month (Quarter)].[All]" allUniqueName="[fct_Shipments].[Order_Month (Quarter)].[All]" dimensionUniqueName="[fct_Shipments]" displayFolder="" count="0" memberValueDatatype="130" unbalanced="0"/>
    <cacheHierarchy uniqueName="[fct_Shipments].[Order_Month (Month)]" caption="Order_Month (Month)" attribute="1" defaultMemberUniqueName="[fct_Shipments].[Order_Month (Month)].[All]" allUniqueName="[fct_Shipments].[Order_Month (Month)].[All]" dimensionUniqueName="[fct_Shipments]" displayFolder="" count="0" memberValueDatatype="130" unbalanced="0"/>
    <cacheHierarchy uniqueName="[fct_Shipments].[Order_Date (Year)]" caption="Order_Date (Year)" attribute="1" defaultMemberUniqueName="[fct_Shipments].[Order_Date (Year)].[All]" allUniqueName="[fct_Shipments].[Order_Date (Year)].[All]" dimensionUniqueName="[fct_Shipments]" displayFolder="" count="2" memberValueDatatype="130" unbalanced="0"/>
    <cacheHierarchy uniqueName="[fct_Shipments].[Order_Date (Quarter)]" caption="Order_Date (Quarter)" attribute="1" defaultMemberUniqueName="[fct_Shipments].[Order_Date (Quarter)].[All]" allUniqueName="[fct_Shipments].[Order_Date (Quarter)].[All]" dimensionUniqueName="[fct_Shipments]" displayFolder="" count="0" memberValueDatatype="130" unbalanced="0"/>
    <cacheHierarchy uniqueName="[fct_Shipments].[Order_Date (Month)]" caption="Order_Date (Month)" attribute="1" defaultMemberUniqueName="[fct_Shipments].[Order_Date (Month)].[All]" allUniqueName="[fct_Shipments].[Order_Date (Month)].[All]" dimensionUniqueName="[fct_Shipments]" displayFolder="" count="2" memberValueDatatype="130" unbalanced="0"/>
    <cacheHierarchy uniqueName="[fct_Shipments].[Order_Date (Month Index)]" caption="Order_Date (Month Index)" attribute="1" defaultMemberUniqueName="[fct_Shipments].[Order_Date (Month Index)].[All]" allUniqueName="[fct_Shipments].[Order_Date (Month Index)].[All]" dimensionUniqueName="[fct_Shipments]" displayFolder="" count="0" memberValueDatatype="20" unbalanced="0" hidden="1"/>
    <cacheHierarchy uniqueName="[fct_Shipments].[Order_Month (Month Index)]" caption="Order_Month (Month Index)" attribute="1" defaultMemberUniqueName="[fct_Shipments].[Order_Month (Month Index)].[All]" allUniqueName="[fct_Shipments].[Order_Month (Month Index)].[All]" dimensionUniqueName="[fct_Shipments]" displayFolder="" count="0" memberValueDatatype="20" unbalanced="0" hidden="1"/>
    <cacheHierarchy uniqueName="[Measures].[Total Shipments]" caption="Total Shipments" measure="1" displayFolder="" measureGroup="fct_Shipments" count="0" oneField="1">
      <fieldsUsage count="1">
        <fieldUsage x="4"/>
      </fieldsUsage>
    </cacheHierarchy>
    <cacheHierarchy uniqueName="[Measures].[On-Time Shipments]" caption="On-Time Shipments" measure="1" displayFolder="" measureGroup="fct_Shipments" count="0"/>
    <cacheHierarchy uniqueName="[Measures].[SLA Breached Shipments]" caption="SLA Breached Shipments" measure="1" displayFolder="" measureGroup="fct_Shipments" count="0"/>
    <cacheHierarchy uniqueName="[Measures].[SLA Compliance Rate]" caption="SLA Compliance Rate" measure="1" displayFolder="" measureGroup="fct_Shipments" count="0" oneField="1">
      <fieldsUsage count="1">
        <fieldUsage x="3"/>
      </fieldsUsage>
    </cacheHierarchy>
    <cacheHierarchy uniqueName="[Measures].[SLA Target Gap]" caption="SLA Target Gap" measure="1" displayFolder="" measureGroup="fct_Shipments" count="0"/>
    <cacheHierarchy uniqueName="[Measures].[Total Breach Days]" caption="Total Breach Days" measure="1" displayFolder="" measureGroup="fct_Shipments" count="0"/>
    <cacheHierarchy uniqueName="[Measures].[Avg Delay When Late]" caption="Avg Delay When Late" measure="1" displayFolder="" measureGroup="fct_Shipments" count="0"/>
    <cacheHierarchy uniqueName="[Measures].[Avg Schedule Variance]" caption="Avg Schedule Variance" measure="1" displayFolder="" measureGroup="fct_Shipments" count="0"/>
    <cacheHierarchy uniqueName="[Measures].[Total Freight Cost]" caption="Total Freight Cost" measure="1" displayFolder="" measureGroup="fct_Shipments" count="0" oneField="1">
      <fieldsUsage count="1">
        <fieldUsage x="1"/>
      </fieldsUsage>
    </cacheHierarchy>
    <cacheHierarchy uniqueName="[Measures].[Total Weight]" caption="Total Weight" measure="1" displayFolder="" measureGroup="fct_Shipments" count="0"/>
    <cacheHierarchy uniqueName="[Measures].[Freight Cost Per Lb]" caption="Freight Cost Per Lb" measure="1" displayFolder="" measureGroup="fct_Shipments" count="0" oneField="1">
      <fieldsUsage count="1">
        <fieldUsage x="2"/>
      </fieldsUsage>
    </cacheHierarchy>
    <cacheHierarchy uniqueName="[Measures].[Avg Order Freight Cost]" caption="Avg Order Freight Cost" measure="1" displayFolder="" measureGroup="fct_Shipments" count="0"/>
    <cacheHierarchy uniqueName="[Measures].[Modeled Penalty Exposure]" caption="Modeled Penalty Exposure" measure="1" displayFolder="" measureGroup="fct_Shipments" count="0"/>
    <cacheHierarchy uniqueName="[Measures].[__XL_Count dim_Carriers]" caption="__XL_Count dim_Carriers" measure="1" displayFolder="" measureGroup="dim_Carriers" count="0" hidden="1"/>
    <cacheHierarchy uniqueName="[Measures].[__XL_Count dim_Warehouses]" caption="__XL_Count dim_Warehouses" measure="1" displayFolder="" measureGroup="dim_Warehouses" count="0" hidden="1"/>
    <cacheHierarchy uniqueName="[Measures].[__XL_Count fct_Shipments]" caption="__XL_Count fct_Shipments" measure="1" displayFolder="" measureGroup="fct_Shipments" count="0" hidden="1"/>
    <cacheHierarchy uniqueName="[Measures].[__No measures defined]" caption="__No measures defined" measure="1" displayFolder="" count="0" hidden="1"/>
  </cacheHierarchies>
  <kpis count="0"/>
  <dimensions count="4">
    <dimension name="dim_Carriers" uniqueName="[dim_Carriers]" caption="dim_Carriers"/>
    <dimension name="dim_Warehouses" uniqueName="[dim_Warehouses]" caption="dim_Warehouses"/>
    <dimension name="fct_Shipments" uniqueName="[fct_Shipments]" caption="fct_Shipments"/>
    <dimension measure="1" name="Measures" uniqueName="[Measures]" caption="Measures"/>
  </dimensions>
  <measureGroups count="3">
    <measureGroup name="dim_Carriers" caption="dim_Carriers"/>
    <measureGroup name="dim_Warehouses" caption="dim_Warehouses"/>
    <measureGroup name="fct_Shipments" caption="fct_Shipmen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h Nguyen" refreshedDate="46237.443412731482" backgroundQuery="1" createdVersion="8" refreshedVersion="8" minRefreshableVersion="3" recordCount="0" supportSubquery="1" supportAdvancedDrill="1" xr:uid="{67C7A816-5713-487F-8933-C8EBB35FC27F}">
  <cacheSource type="external" connectionId="4"/>
  <cacheFields count="3">
    <cacheField name="[fct_Shipments].[Delay_Days].[Delay_Days]" caption="Delay_Days" numFmtId="0" hierarchy="19" level="1">
      <sharedItems containsSemiMixedTypes="0" containsString="0" containsNumber="1" containsInteger="1" minValue="-1" maxValue="4" count="6">
        <n v="-1"/>
        <n v="0"/>
        <n v="1"/>
        <n v="2"/>
        <n v="3"/>
        <n v="4"/>
      </sharedItems>
      <extLst>
        <ext xmlns:x15="http://schemas.microsoft.com/office/spreadsheetml/2010/11/main" uri="{4F2E5C28-24EA-4eb8-9CBF-B6C8F9C3D259}">
          <x15:cachedUniqueNames>
            <x15:cachedUniqueName index="0" name="[fct_Shipments].[Delay_Days].&amp;[-1]"/>
            <x15:cachedUniqueName index="1" name="[fct_Shipments].[Delay_Days].&amp;[0]"/>
            <x15:cachedUniqueName index="2" name="[fct_Shipments].[Delay_Days].&amp;[1]"/>
            <x15:cachedUniqueName index="3" name="[fct_Shipments].[Delay_Days].&amp;[2]"/>
            <x15:cachedUniqueName index="4" name="[fct_Shipments].[Delay_Days].&amp;[3]"/>
            <x15:cachedUniqueName index="5" name="[fct_Shipments].[Delay_Days].&amp;[4]"/>
          </x15:cachedUniqueNames>
        </ext>
      </extLst>
    </cacheField>
    <cacheField name="[Measures].[Total Shipments]" caption="Total Shipments" numFmtId="0" hierarchy="30" level="32767"/>
    <cacheField name="[dim_Warehouses].[Region].[Region]" caption="Region" numFmtId="0" hierarchy="6" level="1">
      <sharedItems containsSemiMixedTypes="0" containsNonDate="0" containsString="0"/>
    </cacheField>
  </cacheFields>
  <cacheHierarchies count="47">
    <cacheHierarchy uniqueName="[dim_Carriers].[Carrier_ID]" caption="Carrier_ID" attribute="1" defaultMemberUniqueName="[dim_Carriers].[Carrier_ID].[All]" allUniqueName="[dim_Carriers].[Carrier_ID].[All]" dimensionUniqueName="[dim_Carriers]" displayFolder="" count="0" memberValueDatatype="130" unbalanced="0"/>
    <cacheHierarchy uniqueName="[dim_Carriers].[Carrier_Name]" caption="Carrier_Name" attribute="1" defaultMemberUniqueName="[dim_Carriers].[Carrier_Name].[All]" allUniqueName="[dim_Carriers].[Carrier_Name].[All]" dimensionUniqueName="[dim_Carriers]" displayFolder="" count="2" memberValueDatatype="130" unbalanced="0"/>
    <cacheHierarchy uniqueName="[dim_Carriers].[SLA_Target_Days]" caption="SLA_Target_Days" attribute="1" defaultMemberUniqueName="[dim_Carriers].[SLA_Target_Days].[All]" allUniqueName="[dim_Carriers].[SLA_Target_Days].[All]" dimensionUniqueName="[dim_Carriers]" displayFolder="" count="0" memberValueDatatype="20" unbalanced="0"/>
    <cacheHierarchy uniqueName="[dim_Carriers].[Base_Cost_Per_Shipment]" caption="Base_Cost_Per_Shipment" attribute="1" defaultMemberUniqueName="[dim_Carriers].[Base_Cost_Per_Shipment].[All]" allUniqueName="[dim_Carriers].[Base_Cost_Per_Shipment].[All]" dimensionUniqueName="[dim_Carriers]" displayFolder="" count="0" memberValueDatatype="5" unbalanced="0"/>
    <cacheHierarchy uniqueName="[dim_Warehouses].[Warehouse_ID]" caption="Warehouse_ID" attribute="1" defaultMemberUniqueName="[dim_Warehouses].[Warehouse_ID].[All]" allUniqueName="[dim_Warehouses].[Warehouse_ID].[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2" memberValueDatatype="130" unbalanced="0">
      <fieldsUsage count="2">
        <fieldUsage x="-1"/>
        <fieldUsage x="2"/>
      </fieldsUsage>
    </cacheHierarchy>
    <cacheHierarchy uniqueName="[dim_Warehouses].[Max_Capacity_Units]" caption="Max_Capacity_Units" attribute="1" defaultMemberUniqueName="[dim_Warehouses].[Max_Capacity_Units].[All]" allUniqueName="[dim_Warehouses].[Max_Capacity_Units].[All]" dimensionUniqueName="[dim_Warehouses]" displayFolder="" count="0" memberValueDatatype="20" unbalanced="0"/>
    <cacheHierarchy uniqueName="[dim_Warehouses].[Handling_Cost_Per_Unit]" caption="Handling_Cost_Per_Unit" attribute="1" defaultMemberUniqueName="[dim_Warehouses].[Handling_Cost_Per_Unit].[All]" allUniqueName="[dim_Warehouses].[Handling_Cost_Per_Unit].[All]" dimensionUniqueName="[dim_Warehouses]" displayFolder="" count="0" memberValueDatatype="5" unbalanced="0"/>
    <cacheHierarchy uniqueName="[fct_Shipments].[Shipment_ID]" caption="Shipment_ID" attribute="1" defaultMemberUniqueName="[fct_Shipments].[Shipment_ID].[All]" allUniqueName="[fct_Shipments].[Shipment_ID].[All]" dimensionUniqueName="[fct_Shipments]" displayFolder="" count="0" memberValueDatatype="130" unbalanced="0"/>
    <cacheHierarchy uniqueName="[fct_Shipments].[Order_Date]" caption="Order_Date" attribute="1" time="1" defaultMemberUniqueName="[fct_Shipments].[Order_Date].[All]" allUniqueName="[fct_Shipments].[Order_Date].[All]" dimensionUniqueName="[fct_Shipments]" displayFolder="" count="0" memberValueDatatype="7" unbalanced="0"/>
    <cacheHierarchy uniqueName="[fct_Shipments].[Order_Month]" caption="Order_Month" attribute="1" time="1" defaultMemberUniqueName="[fct_Shipments].[Order_Month].[All]" allUniqueName="[fct_Shipments].[Order_Month].[All]" dimensionUniqueName="[fct_Shipments]" displayFolder="" count="0" memberValueDatatype="7" unbalanced="0"/>
    <cacheHierarchy uniqueName="[fct_Shipments].[Warehouse_ID]" caption="Warehouse_ID" attribute="1" defaultMemberUniqueName="[fct_Shipments].[Warehouse_ID].[All]" allUniqueName="[fct_Shipments].[Warehouse_ID].[All]" dimensionUniqueName="[fct_Shipments]" displayFolder="" count="0" memberValueDatatype="130" unbalanced="0"/>
    <cacheHierarchy uniqueName="[fct_Shipments].[Carrier_ID]" caption="Carrier_ID" attribute="1" defaultMemberUniqueName="[fct_Shipments].[Carrier_ID].[All]" allUniqueName="[fct_Shipments].[Carrier_ID].[All]" dimensionUniqueName="[fct_Shipments]" displayFolder="" count="0" memberValueDatatype="130" unbalanced="0"/>
    <cacheHierarchy uniqueName="[fct_Shipments].[Promised_Ship_Date]" caption="Promised_Ship_Date" attribute="1" time="1" defaultMemberUniqueName="[fct_Shipments].[Promised_Ship_Date].[All]" allUniqueName="[fct_Shipments].[Promised_Ship_Date].[All]" dimensionUniqueName="[fct_Shipments]" displayFolder="" count="0" memberValueDatatype="7" unbalanced="0"/>
    <cacheHierarchy uniqueName="[fct_Shipments].[Actual_Ship_Date]" caption="Actual_Ship_Date" attribute="1" time="1" defaultMemberUniqueName="[fct_Shipments].[Actual_Ship_Date].[All]" allUniqueName="[fct_Shipments].[Actual_Ship_Date].[All]" dimensionUniqueName="[fct_Shipments]" displayFolder="" count="0" memberValueDatatype="7" unbalanced="0"/>
    <cacheHierarchy uniqueName="[fct_Shipments].[Shipment_Weight_Lbs]" caption="Shipment_Weight_Lbs" attribute="1" defaultMemberUniqueName="[fct_Shipments].[Shipment_Weight_Lbs].[All]" allUniqueName="[fct_Shipments].[Shipment_Weight_Lbs].[All]" dimensionUniqueName="[fct_Shipments]" displayFolder="" count="0" memberValueDatatype="20" unbalanced="0"/>
    <cacheHierarchy uniqueName="[fct_Shipments].[Freight_Cost]" caption="Freight_Cost" attribute="1" defaultMemberUniqueName="[fct_Shipments].[Freight_Cost].[All]" allUniqueName="[fct_Shipments].[Freight_Cost].[All]" dimensionUniqueName="[fct_Shipments]" displayFolder="" count="0" memberValueDatatype="5" unbalanced="0"/>
    <cacheHierarchy uniqueName="[fct_Shipments].[Cost_Per_lb]" caption="Cost_Per_lb" attribute="1" defaultMemberUniqueName="[fct_Shipments].[Cost_Per_lb].[All]" allUniqueName="[fct_Shipments].[Cost_Per_lb].[All]" dimensionUniqueName="[fct_Shipments]" displayFolder="" count="0" memberValueDatatype="5" unbalanced="0"/>
    <cacheHierarchy uniqueName="[fct_Shipments].[Delay_Days]" caption="Delay_Days" attribute="1" defaultMemberUniqueName="[fct_Shipments].[Delay_Days].[All]" allUniqueName="[fct_Shipments].[Delay_Days].[All]" dimensionUniqueName="[fct_Shipments]" displayFolder="" count="2" memberValueDatatype="20" unbalanced="0">
      <fieldsUsage count="2">
        <fieldUsage x="-1"/>
        <fieldUsage x="0"/>
      </fieldsUsage>
    </cacheHierarchy>
    <cacheHierarchy uniqueName="[fct_Shipments].[Is_OnTime]" caption="Is_OnTime" attribute="1" defaultMemberUniqueName="[fct_Shipments].[Is_OnTime].[All]" allUniqueName="[fct_Shipments].[Is_OnTime].[All]" dimensionUniqueName="[fct_Shipments]" displayFolder="" count="0" memberValueDatatype="130" unbalanced="0"/>
    <cacheHierarchy uniqueName="[fct_Shipments].[Delivery_Status]" caption="Delivery_Status" attribute="1" defaultMemberUniqueName="[fct_Shipments].[Delivery_Status].[All]" allUniqueName="[fct_Shipments].[Delivery_Status].[All]" dimensionUniqueName="[fct_Shipments]" displayFolder="" count="0" memberValueDatatype="130" unbalanced="0"/>
    <cacheHierarchy uniqueName="[fct_Shipments].[Order_Month (Year)]" caption="Order_Month (Year)" attribute="1" defaultMemberUniqueName="[fct_Shipments].[Order_Month (Year)].[All]" allUniqueName="[fct_Shipments].[Order_Month (Year)].[All]" dimensionUniqueName="[fct_Shipments]" displayFolder="" count="0" memberValueDatatype="130" unbalanced="0"/>
    <cacheHierarchy uniqueName="[fct_Shipments].[Order_Month (Quarter)]" caption="Order_Month (Quarter)" attribute="1" defaultMemberUniqueName="[fct_Shipments].[Order_Month (Quarter)].[All]" allUniqueName="[fct_Shipments].[Order_Month (Quarter)].[All]" dimensionUniqueName="[fct_Shipments]" displayFolder="" count="0" memberValueDatatype="130" unbalanced="0"/>
    <cacheHierarchy uniqueName="[fct_Shipments].[Order_Month (Month)]" caption="Order_Month (Month)" attribute="1" defaultMemberUniqueName="[fct_Shipments].[Order_Month (Month)].[All]" allUniqueName="[fct_Shipments].[Order_Month (Month)].[All]" dimensionUniqueName="[fct_Shipments]" displayFolder="" count="0" memberValueDatatype="130" unbalanced="0"/>
    <cacheHierarchy uniqueName="[fct_Shipments].[Order_Date (Year)]" caption="Order_Date (Year)" attribute="1" defaultMemberUniqueName="[fct_Shipments].[Order_Date (Year)].[All]" allUniqueName="[fct_Shipments].[Order_Date (Year)].[All]" dimensionUniqueName="[fct_Shipments]" displayFolder="" count="2" memberValueDatatype="130" unbalanced="0"/>
    <cacheHierarchy uniqueName="[fct_Shipments].[Order_Date (Quarter)]" caption="Order_Date (Quarter)" attribute="1" defaultMemberUniqueName="[fct_Shipments].[Order_Date (Quarter)].[All]" allUniqueName="[fct_Shipments].[Order_Date (Quarter)].[All]" dimensionUniqueName="[fct_Shipments]" displayFolder="" count="0" memberValueDatatype="130" unbalanced="0"/>
    <cacheHierarchy uniqueName="[fct_Shipments].[Order_Date (Month)]" caption="Order_Date (Month)" attribute="1" defaultMemberUniqueName="[fct_Shipments].[Order_Date (Month)].[All]" allUniqueName="[fct_Shipments].[Order_Date (Month)].[All]" dimensionUniqueName="[fct_Shipments]" displayFolder="" count="2" memberValueDatatype="130" unbalanced="0"/>
    <cacheHierarchy uniqueName="[fct_Shipments].[Order_Date (Month Index)]" caption="Order_Date (Month Index)" attribute="1" defaultMemberUniqueName="[fct_Shipments].[Order_Date (Month Index)].[All]" allUniqueName="[fct_Shipments].[Order_Date (Month Index)].[All]" dimensionUniqueName="[fct_Shipments]" displayFolder="" count="0" memberValueDatatype="20" unbalanced="0" hidden="1"/>
    <cacheHierarchy uniqueName="[fct_Shipments].[Order_Month (Month Index)]" caption="Order_Month (Month Index)" attribute="1" defaultMemberUniqueName="[fct_Shipments].[Order_Month (Month Index)].[All]" allUniqueName="[fct_Shipments].[Order_Month (Month Index)].[All]" dimensionUniqueName="[fct_Shipments]" displayFolder="" count="0" memberValueDatatype="20" unbalanced="0" hidden="1"/>
    <cacheHierarchy uniqueName="[Measures].[Total Shipments]" caption="Total Shipments" measure="1" displayFolder="" measureGroup="fct_Shipments" count="0" oneField="1">
      <fieldsUsage count="1">
        <fieldUsage x="1"/>
      </fieldsUsage>
    </cacheHierarchy>
    <cacheHierarchy uniqueName="[Measures].[On-Time Shipments]" caption="On-Time Shipments" measure="1" displayFolder="" measureGroup="fct_Shipments" count="0"/>
    <cacheHierarchy uniqueName="[Measures].[SLA Breached Shipments]" caption="SLA Breached Shipments" measure="1" displayFolder="" measureGroup="fct_Shipments" count="0"/>
    <cacheHierarchy uniqueName="[Measures].[SLA Compliance Rate]" caption="SLA Compliance Rate" measure="1" displayFolder="" measureGroup="fct_Shipments" count="0"/>
    <cacheHierarchy uniqueName="[Measures].[SLA Target Gap]" caption="SLA Target Gap" measure="1" displayFolder="" measureGroup="fct_Shipments" count="0"/>
    <cacheHierarchy uniqueName="[Measures].[Total Breach Days]" caption="Total Breach Days" measure="1" displayFolder="" measureGroup="fct_Shipments" count="0"/>
    <cacheHierarchy uniqueName="[Measures].[Avg Delay When Late]" caption="Avg Delay When Late" measure="1" displayFolder="" measureGroup="fct_Shipments" count="0"/>
    <cacheHierarchy uniqueName="[Measures].[Avg Schedule Variance]" caption="Avg Schedule Variance" measure="1" displayFolder="" measureGroup="fct_Shipments" count="0"/>
    <cacheHierarchy uniqueName="[Measures].[Total Freight Cost]" caption="Total Freight Cost" measure="1" displayFolder="" measureGroup="fct_Shipments" count="0"/>
    <cacheHierarchy uniqueName="[Measures].[Total Weight]" caption="Total Weight" measure="1" displayFolder="" measureGroup="fct_Shipments" count="0"/>
    <cacheHierarchy uniqueName="[Measures].[Freight Cost Per Lb]" caption="Freight Cost Per Lb" measure="1" displayFolder="" measureGroup="fct_Shipments" count="0"/>
    <cacheHierarchy uniqueName="[Measures].[Avg Order Freight Cost]" caption="Avg Order Freight Cost" measure="1" displayFolder="" measureGroup="fct_Shipments" count="0"/>
    <cacheHierarchy uniqueName="[Measures].[Modeled Penalty Exposure]" caption="Modeled Penalty Exposure" measure="1" displayFolder="" measureGroup="fct_Shipments" count="0"/>
    <cacheHierarchy uniqueName="[Measures].[__XL_Count dim_Carriers]" caption="__XL_Count dim_Carriers" measure="1" displayFolder="" measureGroup="dim_Carriers" count="0" hidden="1"/>
    <cacheHierarchy uniqueName="[Measures].[__XL_Count dim_Warehouses]" caption="__XL_Count dim_Warehouses" measure="1" displayFolder="" measureGroup="dim_Warehouses" count="0" hidden="1"/>
    <cacheHierarchy uniqueName="[Measures].[__XL_Count fct_Shipments]" caption="__XL_Count fct_Shipments" measure="1" displayFolder="" measureGroup="fct_Shipments" count="0" hidden="1"/>
    <cacheHierarchy uniqueName="[Measures].[__No measures defined]" caption="__No measures defined" measure="1" displayFolder="" count="0" hidden="1"/>
  </cacheHierarchies>
  <kpis count="0"/>
  <dimensions count="4">
    <dimension name="dim_Carriers" uniqueName="[dim_Carriers]" caption="dim_Carriers"/>
    <dimension name="dim_Warehouses" uniqueName="[dim_Warehouses]" caption="dim_Warehouses"/>
    <dimension name="fct_Shipments" uniqueName="[fct_Shipments]" caption="fct_Shipments"/>
    <dimension measure="1" name="Measures" uniqueName="[Measures]" caption="Measures"/>
  </dimensions>
  <measureGroups count="3">
    <measureGroup name="dim_Carriers" caption="dim_Carriers"/>
    <measureGroup name="dim_Warehouses" caption="dim_Warehouses"/>
    <measureGroup name="fct_Shipments" caption="fct_Shipmen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h Nguyen" refreshedDate="46237.044349074073" backgroundQuery="1" createdVersion="3" refreshedVersion="8" minRefreshableVersion="3" recordCount="0" supportSubquery="1" supportAdvancedDrill="1" xr:uid="{FBB4FF2E-7A5F-48CE-B9A6-95245F3A0C4E}">
  <cacheSource type="external" connectionId="4">
    <extLst>
      <ext xmlns:x14="http://schemas.microsoft.com/office/spreadsheetml/2009/9/main" uri="{F057638F-6D5F-4e77-A914-E7F072B9BCA8}">
        <x14:sourceConnection name="ThisWorkbookDataModel"/>
      </ext>
    </extLst>
  </cacheSource>
  <cacheFields count="0"/>
  <cacheHierarchies count="47">
    <cacheHierarchy uniqueName="[dim_Carriers].[Carrier_ID]" caption="Carrier_ID" attribute="1" defaultMemberUniqueName="[dim_Carriers].[Carrier_ID].[All]" allUniqueName="[dim_Carriers].[Carrier_ID].[All]" dimensionUniqueName="[dim_Carriers]" displayFolder="" count="0" memberValueDatatype="130" unbalanced="0"/>
    <cacheHierarchy uniqueName="[dim_Carriers].[Carrier_Name]" caption="Carrier_Name" attribute="1" defaultMemberUniqueName="[dim_Carriers].[Carrier_Name].[All]" allUniqueName="[dim_Carriers].[Carrier_Name].[All]" dimensionUniqueName="[dim_Carriers]" displayFolder="" count="2" memberValueDatatype="130" unbalanced="0"/>
    <cacheHierarchy uniqueName="[dim_Carriers].[SLA_Target_Days]" caption="SLA_Target_Days" attribute="1" defaultMemberUniqueName="[dim_Carriers].[SLA_Target_Days].[All]" allUniqueName="[dim_Carriers].[SLA_Target_Days].[All]" dimensionUniqueName="[dim_Carriers]" displayFolder="" count="0" memberValueDatatype="20" unbalanced="0"/>
    <cacheHierarchy uniqueName="[dim_Carriers].[Base_Cost_Per_Shipment]" caption="Base_Cost_Per_Shipment" attribute="1" defaultMemberUniqueName="[dim_Carriers].[Base_Cost_Per_Shipment].[All]" allUniqueName="[dim_Carriers].[Base_Cost_Per_Shipment].[All]" dimensionUniqueName="[dim_Carriers]" displayFolder="" count="0" memberValueDatatype="5" unbalanced="0"/>
    <cacheHierarchy uniqueName="[dim_Warehouses].[Warehouse_ID]" caption="Warehouse_ID" attribute="1" defaultMemberUniqueName="[dim_Warehouses].[Warehouse_ID].[All]" allUniqueName="[dim_Warehouses].[Warehouse_ID].[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2" memberValueDatatype="130" unbalanced="0"/>
    <cacheHierarchy uniqueName="[dim_Warehouses].[Max_Capacity_Units]" caption="Max_Capacity_Units" attribute="1" defaultMemberUniqueName="[dim_Warehouses].[Max_Capacity_Units].[All]" allUniqueName="[dim_Warehouses].[Max_Capacity_Units].[All]" dimensionUniqueName="[dim_Warehouses]" displayFolder="" count="0" memberValueDatatype="20" unbalanced="0"/>
    <cacheHierarchy uniqueName="[dim_Warehouses].[Handling_Cost_Per_Unit]" caption="Handling_Cost_Per_Unit" attribute="1" defaultMemberUniqueName="[dim_Warehouses].[Handling_Cost_Per_Unit].[All]" allUniqueName="[dim_Warehouses].[Handling_Cost_Per_Unit].[All]" dimensionUniqueName="[dim_Warehouses]" displayFolder="" count="0" memberValueDatatype="5" unbalanced="0"/>
    <cacheHierarchy uniqueName="[fct_Shipments].[Shipment_ID]" caption="Shipment_ID" attribute="1" defaultMemberUniqueName="[fct_Shipments].[Shipment_ID].[All]" allUniqueName="[fct_Shipments].[Shipment_ID].[All]" dimensionUniqueName="[fct_Shipments]" displayFolder="" count="0" memberValueDatatype="130" unbalanced="0"/>
    <cacheHierarchy uniqueName="[fct_Shipments].[Order_Date]" caption="Order_Date" attribute="1" time="1" defaultMemberUniqueName="[fct_Shipments].[Order_Date].[All]" allUniqueName="[fct_Shipments].[Order_Date].[All]" dimensionUniqueName="[fct_Shipments]" displayFolder="" count="0" memberValueDatatype="7" unbalanced="0"/>
    <cacheHierarchy uniqueName="[fct_Shipments].[Order_Month]" caption="Order_Month" attribute="1" time="1" defaultMemberUniqueName="[fct_Shipments].[Order_Month].[All]" allUniqueName="[fct_Shipments].[Order_Month].[All]" dimensionUniqueName="[fct_Shipments]" displayFolder="" count="0" memberValueDatatype="7" unbalanced="0"/>
    <cacheHierarchy uniqueName="[fct_Shipments].[Warehouse_ID]" caption="Warehouse_ID" attribute="1" defaultMemberUniqueName="[fct_Shipments].[Warehouse_ID].[All]" allUniqueName="[fct_Shipments].[Warehouse_ID].[All]" dimensionUniqueName="[fct_Shipments]" displayFolder="" count="0" memberValueDatatype="130" unbalanced="0"/>
    <cacheHierarchy uniqueName="[fct_Shipments].[Carrier_ID]" caption="Carrier_ID" attribute="1" defaultMemberUniqueName="[fct_Shipments].[Carrier_ID].[All]" allUniqueName="[fct_Shipments].[Carrier_ID].[All]" dimensionUniqueName="[fct_Shipments]" displayFolder="" count="0" memberValueDatatype="130" unbalanced="0"/>
    <cacheHierarchy uniqueName="[fct_Shipments].[Promised_Ship_Date]" caption="Promised_Ship_Date" attribute="1" time="1" defaultMemberUniqueName="[fct_Shipments].[Promised_Ship_Date].[All]" allUniqueName="[fct_Shipments].[Promised_Ship_Date].[All]" dimensionUniqueName="[fct_Shipments]" displayFolder="" count="0" memberValueDatatype="7" unbalanced="0"/>
    <cacheHierarchy uniqueName="[fct_Shipments].[Actual_Ship_Date]" caption="Actual_Ship_Date" attribute="1" time="1" defaultMemberUniqueName="[fct_Shipments].[Actual_Ship_Date].[All]" allUniqueName="[fct_Shipments].[Actual_Ship_Date].[All]" dimensionUniqueName="[fct_Shipments]" displayFolder="" count="0" memberValueDatatype="7" unbalanced="0"/>
    <cacheHierarchy uniqueName="[fct_Shipments].[Shipment_Weight_Lbs]" caption="Shipment_Weight_Lbs" attribute="1" defaultMemberUniqueName="[fct_Shipments].[Shipment_Weight_Lbs].[All]" allUniqueName="[fct_Shipments].[Shipment_Weight_Lbs].[All]" dimensionUniqueName="[fct_Shipments]" displayFolder="" count="0" memberValueDatatype="20" unbalanced="0"/>
    <cacheHierarchy uniqueName="[fct_Shipments].[Freight_Cost]" caption="Freight_Cost" attribute="1" defaultMemberUniqueName="[fct_Shipments].[Freight_Cost].[All]" allUniqueName="[fct_Shipments].[Freight_Cost].[All]" dimensionUniqueName="[fct_Shipments]" displayFolder="" count="0" memberValueDatatype="5" unbalanced="0"/>
    <cacheHierarchy uniqueName="[fct_Shipments].[Cost_Per_lb]" caption="Cost_Per_lb" attribute="1" defaultMemberUniqueName="[fct_Shipments].[Cost_Per_lb].[All]" allUniqueName="[fct_Shipments].[Cost_Per_lb].[All]" dimensionUniqueName="[fct_Shipments]" displayFolder="" count="0" memberValueDatatype="5" unbalanced="0"/>
    <cacheHierarchy uniqueName="[fct_Shipments].[Delay_Days]" caption="Delay_Days" attribute="1" defaultMemberUniqueName="[fct_Shipments].[Delay_Days].[All]" allUniqueName="[fct_Shipments].[Delay_Days].[All]" dimensionUniqueName="[fct_Shipments]" displayFolder="" count="0" memberValueDatatype="20" unbalanced="0"/>
    <cacheHierarchy uniqueName="[fct_Shipments].[Is_OnTime]" caption="Is_OnTime" attribute="1" defaultMemberUniqueName="[fct_Shipments].[Is_OnTime].[All]" allUniqueName="[fct_Shipments].[Is_OnTime].[All]" dimensionUniqueName="[fct_Shipments]" displayFolder="" count="0" memberValueDatatype="130" unbalanced="0"/>
    <cacheHierarchy uniqueName="[fct_Shipments].[Delivery_Status]" caption="Delivery_Status" attribute="1" defaultMemberUniqueName="[fct_Shipments].[Delivery_Status].[All]" allUniqueName="[fct_Shipments].[Delivery_Status].[All]" dimensionUniqueName="[fct_Shipments]" displayFolder="" count="0" memberValueDatatype="130" unbalanced="0"/>
    <cacheHierarchy uniqueName="[fct_Shipments].[Order_Month (Year)]" caption="Order_Month (Year)" attribute="1" defaultMemberUniqueName="[fct_Shipments].[Order_Month (Year)].[All]" allUniqueName="[fct_Shipments].[Order_Month (Year)].[All]" dimensionUniqueName="[fct_Shipments]" displayFolder="" count="0" memberValueDatatype="130" unbalanced="0"/>
    <cacheHierarchy uniqueName="[fct_Shipments].[Order_Month (Quarter)]" caption="Order_Month (Quarter)" attribute="1" defaultMemberUniqueName="[fct_Shipments].[Order_Month (Quarter)].[All]" allUniqueName="[fct_Shipments].[Order_Month (Quarter)].[All]" dimensionUniqueName="[fct_Shipments]" displayFolder="" count="0" memberValueDatatype="130" unbalanced="0"/>
    <cacheHierarchy uniqueName="[fct_Shipments].[Order_Month (Month)]" caption="Order_Month (Month)" attribute="1" defaultMemberUniqueName="[fct_Shipments].[Order_Month (Month)].[All]" allUniqueName="[fct_Shipments].[Order_Month (Month)].[All]" dimensionUniqueName="[fct_Shipments]" displayFolder="" count="0" memberValueDatatype="130" unbalanced="0"/>
    <cacheHierarchy uniqueName="[fct_Shipments].[Order_Date (Year)]" caption="Order_Date (Year)" attribute="1" defaultMemberUniqueName="[fct_Shipments].[Order_Date (Year)].[All]" allUniqueName="[fct_Shipments].[Order_Date (Year)].[All]" dimensionUniqueName="[fct_Shipments]" displayFolder="" count="0" memberValueDatatype="130" unbalanced="0"/>
    <cacheHierarchy uniqueName="[fct_Shipments].[Order_Date (Quarter)]" caption="Order_Date (Quarter)" attribute="1" defaultMemberUniqueName="[fct_Shipments].[Order_Date (Quarter)].[All]" allUniqueName="[fct_Shipments].[Order_Date (Quarter)].[All]" dimensionUniqueName="[fct_Shipments]" displayFolder="" count="0" memberValueDatatype="130" unbalanced="0"/>
    <cacheHierarchy uniqueName="[fct_Shipments].[Order_Date (Month)]" caption="Order_Date (Month)" attribute="1" defaultMemberUniqueName="[fct_Shipments].[Order_Date (Month)].[All]" allUniqueName="[fct_Shipments].[Order_Date (Month)].[All]" dimensionUniqueName="[fct_Shipments]" displayFolder="" count="0" memberValueDatatype="130" unbalanced="0"/>
    <cacheHierarchy uniqueName="[fct_Shipments].[Order_Date (Month Index)]" caption="Order_Date (Month Index)" attribute="1" defaultMemberUniqueName="[fct_Shipments].[Order_Date (Month Index)].[All]" allUniqueName="[fct_Shipments].[Order_Date (Month Index)].[All]" dimensionUniqueName="[fct_Shipments]" displayFolder="" count="0" memberValueDatatype="20" unbalanced="0" hidden="1"/>
    <cacheHierarchy uniqueName="[fct_Shipments].[Order_Month (Month Index)]" caption="Order_Month (Month Index)" attribute="1" defaultMemberUniqueName="[fct_Shipments].[Order_Month (Month Index)].[All]" allUniqueName="[fct_Shipments].[Order_Month (Month Index)].[All]" dimensionUniqueName="[fct_Shipments]" displayFolder="" count="0" memberValueDatatype="20" unbalanced="0" hidden="1"/>
    <cacheHierarchy uniqueName="[Measures].[Total Shipments]" caption="Total Shipments" measure="1" displayFolder="" measureGroup="fct_Shipments" count="0"/>
    <cacheHierarchy uniqueName="[Measures].[On-Time Shipments]" caption="On-Time Shipments" measure="1" displayFolder="" measureGroup="fct_Shipments" count="0"/>
    <cacheHierarchy uniqueName="[Measures].[SLA Breached Shipments]" caption="SLA Breached Shipments" measure="1" displayFolder="" measureGroup="fct_Shipments" count="0"/>
    <cacheHierarchy uniqueName="[Measures].[SLA Compliance Rate]" caption="SLA Compliance Rate" measure="1" displayFolder="" measureGroup="fct_Shipments" count="0"/>
    <cacheHierarchy uniqueName="[Measures].[SLA Target Gap]" caption="SLA Target Gap" measure="1" displayFolder="" measureGroup="fct_Shipments" count="0"/>
    <cacheHierarchy uniqueName="[Measures].[Total Breach Days]" caption="Total Breach Days" measure="1" displayFolder="" measureGroup="fct_Shipments" count="0"/>
    <cacheHierarchy uniqueName="[Measures].[Avg Delay When Late]" caption="Avg Delay When Late" measure="1" displayFolder="" measureGroup="fct_Shipments" count="0"/>
    <cacheHierarchy uniqueName="[Measures].[Avg Schedule Variance]" caption="Avg Schedule Variance" measure="1" displayFolder="" measureGroup="fct_Shipments" count="0"/>
    <cacheHierarchy uniqueName="[Measures].[Total Freight Cost]" caption="Total Freight Cost" measure="1" displayFolder="" measureGroup="fct_Shipments" count="0"/>
    <cacheHierarchy uniqueName="[Measures].[Total Weight]" caption="Total Weight" measure="1" displayFolder="" measureGroup="fct_Shipments" count="0"/>
    <cacheHierarchy uniqueName="[Measures].[Freight Cost Per Lb]" caption="Freight Cost Per Lb" measure="1" displayFolder="" measureGroup="fct_Shipments" count="0"/>
    <cacheHierarchy uniqueName="[Measures].[Avg Order Freight Cost]" caption="Avg Order Freight Cost" measure="1" displayFolder="" measureGroup="fct_Shipments" count="0"/>
    <cacheHierarchy uniqueName="[Measures].[Modeled Penalty Exposure]" caption="Modeled Penalty Exposure" measure="1" displayFolder="" measureGroup="fct_Shipments" count="0"/>
    <cacheHierarchy uniqueName="[Measures].[__XL_Count dim_Carriers]" caption="__XL_Count dim_Carriers" measure="1" displayFolder="" measureGroup="dim_Carriers" count="0" hidden="1"/>
    <cacheHierarchy uniqueName="[Measures].[__XL_Count dim_Warehouses]" caption="__XL_Count dim_Warehouses" measure="1" displayFolder="" measureGroup="dim_Warehouses" count="0" hidden="1"/>
    <cacheHierarchy uniqueName="[Measures].[__XL_Count fct_Shipments]" caption="__XL_Count fct_Shipments" measure="1" displayFolder="" measureGroup="fct_Shipmen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7523906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h Nguyen" refreshedDate="46237.045399421295" backgroundQuery="1" createdVersion="3" refreshedVersion="8" minRefreshableVersion="3" recordCount="0" supportSubquery="1" supportAdvancedDrill="1" xr:uid="{0FBEF29A-03A1-47F0-8A45-93EEDF3C9AAE}">
  <cacheSource type="external" connectionId="4">
    <extLst>
      <ext xmlns:x14="http://schemas.microsoft.com/office/spreadsheetml/2009/9/main" uri="{F057638F-6D5F-4e77-A914-E7F072B9BCA8}">
        <x14:sourceConnection name="ThisWorkbookDataModel"/>
      </ext>
    </extLst>
  </cacheSource>
  <cacheFields count="0"/>
  <cacheHierarchies count="47">
    <cacheHierarchy uniqueName="[dim_Carriers].[Carrier_ID]" caption="Carrier_ID" attribute="1" defaultMemberUniqueName="[dim_Carriers].[Carrier_ID].[All]" allUniqueName="[dim_Carriers].[Carrier_ID].[All]" dimensionUniqueName="[dim_Carriers]" displayFolder="" count="0" memberValueDatatype="130" unbalanced="0"/>
    <cacheHierarchy uniqueName="[dim_Carriers].[Carrier_Name]" caption="Carrier_Name" attribute="1" defaultMemberUniqueName="[dim_Carriers].[Carrier_Name].[All]" allUniqueName="[dim_Carriers].[Carrier_Name].[All]" dimensionUniqueName="[dim_Carriers]" displayFolder="" count="0" memberValueDatatype="130" unbalanced="0"/>
    <cacheHierarchy uniqueName="[dim_Carriers].[SLA_Target_Days]" caption="SLA_Target_Days" attribute="1" defaultMemberUniqueName="[dim_Carriers].[SLA_Target_Days].[All]" allUniqueName="[dim_Carriers].[SLA_Target_Days].[All]" dimensionUniqueName="[dim_Carriers]" displayFolder="" count="0" memberValueDatatype="20" unbalanced="0"/>
    <cacheHierarchy uniqueName="[dim_Carriers].[Base_Cost_Per_Shipment]" caption="Base_Cost_Per_Shipment" attribute="1" defaultMemberUniqueName="[dim_Carriers].[Base_Cost_Per_Shipment].[All]" allUniqueName="[dim_Carriers].[Base_Cost_Per_Shipment].[All]" dimensionUniqueName="[dim_Carriers]" displayFolder="" count="0" memberValueDatatype="5" unbalanced="0"/>
    <cacheHierarchy uniqueName="[dim_Warehouses].[Warehouse_ID]" caption="Warehouse_ID" attribute="1" defaultMemberUniqueName="[dim_Warehouses].[Warehouse_ID].[All]" allUniqueName="[dim_Warehouses].[Warehouse_ID].[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0" memberValueDatatype="130" unbalanced="0"/>
    <cacheHierarchy uniqueName="[dim_Warehouses].[Max_Capacity_Units]" caption="Max_Capacity_Units" attribute="1" defaultMemberUniqueName="[dim_Warehouses].[Max_Capacity_Units].[All]" allUniqueName="[dim_Warehouses].[Max_Capacity_Units].[All]" dimensionUniqueName="[dim_Warehouses]" displayFolder="" count="0" memberValueDatatype="20" unbalanced="0"/>
    <cacheHierarchy uniqueName="[dim_Warehouses].[Handling_Cost_Per_Unit]" caption="Handling_Cost_Per_Unit" attribute="1" defaultMemberUniqueName="[dim_Warehouses].[Handling_Cost_Per_Unit].[All]" allUniqueName="[dim_Warehouses].[Handling_Cost_Per_Unit].[All]" dimensionUniqueName="[dim_Warehouses]" displayFolder="" count="0" memberValueDatatype="5" unbalanced="0"/>
    <cacheHierarchy uniqueName="[fct_Shipments].[Shipment_ID]" caption="Shipment_ID" attribute="1" defaultMemberUniqueName="[fct_Shipments].[Shipment_ID].[All]" allUniqueName="[fct_Shipments].[Shipment_ID].[All]" dimensionUniqueName="[fct_Shipments]" displayFolder="" count="0" memberValueDatatype="130" unbalanced="0"/>
    <cacheHierarchy uniqueName="[fct_Shipments].[Order_Date]" caption="Order_Date" attribute="1" time="1" defaultMemberUniqueName="[fct_Shipments].[Order_Date].[All]" allUniqueName="[fct_Shipments].[Order_Date].[All]" dimensionUniqueName="[fct_Shipments]" displayFolder="" count="0" memberValueDatatype="7" unbalanced="0"/>
    <cacheHierarchy uniqueName="[fct_Shipments].[Order_Month]" caption="Order_Month" attribute="1" time="1" defaultMemberUniqueName="[fct_Shipments].[Order_Month].[All]" allUniqueName="[fct_Shipments].[Order_Month].[All]" dimensionUniqueName="[fct_Shipments]" displayFolder="" count="0" memberValueDatatype="7" unbalanced="0"/>
    <cacheHierarchy uniqueName="[fct_Shipments].[Warehouse_ID]" caption="Warehouse_ID" attribute="1" defaultMemberUniqueName="[fct_Shipments].[Warehouse_ID].[All]" allUniqueName="[fct_Shipments].[Warehouse_ID].[All]" dimensionUniqueName="[fct_Shipments]" displayFolder="" count="0" memberValueDatatype="130" unbalanced="0"/>
    <cacheHierarchy uniqueName="[fct_Shipments].[Carrier_ID]" caption="Carrier_ID" attribute="1" defaultMemberUniqueName="[fct_Shipments].[Carrier_ID].[All]" allUniqueName="[fct_Shipments].[Carrier_ID].[All]" dimensionUniqueName="[fct_Shipments]" displayFolder="" count="0" memberValueDatatype="130" unbalanced="0"/>
    <cacheHierarchy uniqueName="[fct_Shipments].[Promised_Ship_Date]" caption="Promised_Ship_Date" attribute="1" time="1" defaultMemberUniqueName="[fct_Shipments].[Promised_Ship_Date].[All]" allUniqueName="[fct_Shipments].[Promised_Ship_Date].[All]" dimensionUniqueName="[fct_Shipments]" displayFolder="" count="0" memberValueDatatype="7" unbalanced="0"/>
    <cacheHierarchy uniqueName="[fct_Shipments].[Actual_Ship_Date]" caption="Actual_Ship_Date" attribute="1" time="1" defaultMemberUniqueName="[fct_Shipments].[Actual_Ship_Date].[All]" allUniqueName="[fct_Shipments].[Actual_Ship_Date].[All]" dimensionUniqueName="[fct_Shipments]" displayFolder="" count="0" memberValueDatatype="7" unbalanced="0"/>
    <cacheHierarchy uniqueName="[fct_Shipments].[Shipment_Weight_Lbs]" caption="Shipment_Weight_Lbs" attribute="1" defaultMemberUniqueName="[fct_Shipments].[Shipment_Weight_Lbs].[All]" allUniqueName="[fct_Shipments].[Shipment_Weight_Lbs].[All]" dimensionUniqueName="[fct_Shipments]" displayFolder="" count="0" memberValueDatatype="20" unbalanced="0"/>
    <cacheHierarchy uniqueName="[fct_Shipments].[Freight_Cost]" caption="Freight_Cost" attribute="1" defaultMemberUniqueName="[fct_Shipments].[Freight_Cost].[All]" allUniqueName="[fct_Shipments].[Freight_Cost].[All]" dimensionUniqueName="[fct_Shipments]" displayFolder="" count="0" memberValueDatatype="5" unbalanced="0"/>
    <cacheHierarchy uniqueName="[fct_Shipments].[Cost_Per_lb]" caption="Cost_Per_lb" attribute="1" defaultMemberUniqueName="[fct_Shipments].[Cost_Per_lb].[All]" allUniqueName="[fct_Shipments].[Cost_Per_lb].[All]" dimensionUniqueName="[fct_Shipments]" displayFolder="" count="0" memberValueDatatype="5" unbalanced="0"/>
    <cacheHierarchy uniqueName="[fct_Shipments].[Delay_Days]" caption="Delay_Days" attribute="1" defaultMemberUniqueName="[fct_Shipments].[Delay_Days].[All]" allUniqueName="[fct_Shipments].[Delay_Days].[All]" dimensionUniqueName="[fct_Shipments]" displayFolder="" count="0" memberValueDatatype="20" unbalanced="0"/>
    <cacheHierarchy uniqueName="[fct_Shipments].[Is_OnTime]" caption="Is_OnTime" attribute="1" defaultMemberUniqueName="[fct_Shipments].[Is_OnTime].[All]" allUniqueName="[fct_Shipments].[Is_OnTime].[All]" dimensionUniqueName="[fct_Shipments]" displayFolder="" count="0" memberValueDatatype="130" unbalanced="0"/>
    <cacheHierarchy uniqueName="[fct_Shipments].[Delivery_Status]" caption="Delivery_Status" attribute="1" defaultMemberUniqueName="[fct_Shipments].[Delivery_Status].[All]" allUniqueName="[fct_Shipments].[Delivery_Status].[All]" dimensionUniqueName="[fct_Shipments]" displayFolder="" count="0" memberValueDatatype="130" unbalanced="0"/>
    <cacheHierarchy uniqueName="[fct_Shipments].[Order_Month (Year)]" caption="Order_Month (Year)" attribute="1" defaultMemberUniqueName="[fct_Shipments].[Order_Month (Year)].[All]" allUniqueName="[fct_Shipments].[Order_Month (Year)].[All]" dimensionUniqueName="[fct_Shipments]" displayFolder="" count="0" memberValueDatatype="130" unbalanced="0"/>
    <cacheHierarchy uniqueName="[fct_Shipments].[Order_Month (Quarter)]" caption="Order_Month (Quarter)" attribute="1" defaultMemberUniqueName="[fct_Shipments].[Order_Month (Quarter)].[All]" allUniqueName="[fct_Shipments].[Order_Month (Quarter)].[All]" dimensionUniqueName="[fct_Shipments]" displayFolder="" count="0" memberValueDatatype="130" unbalanced="0"/>
    <cacheHierarchy uniqueName="[fct_Shipments].[Order_Month (Month)]" caption="Order_Month (Month)" attribute="1" defaultMemberUniqueName="[fct_Shipments].[Order_Month (Month)].[All]" allUniqueName="[fct_Shipments].[Order_Month (Month)].[All]" dimensionUniqueName="[fct_Shipments]" displayFolder="" count="0" memberValueDatatype="130" unbalanced="0"/>
    <cacheHierarchy uniqueName="[fct_Shipments].[Order_Date (Year)]" caption="Order_Date (Year)" attribute="1" defaultMemberUniqueName="[fct_Shipments].[Order_Date (Year)].[All]" allUniqueName="[fct_Shipments].[Order_Date (Year)].[All]" dimensionUniqueName="[fct_Shipments]" displayFolder="" count="2" memberValueDatatype="130" unbalanced="0"/>
    <cacheHierarchy uniqueName="[fct_Shipments].[Order_Date (Quarter)]" caption="Order_Date (Quarter)" attribute="1" defaultMemberUniqueName="[fct_Shipments].[Order_Date (Quarter)].[All]" allUniqueName="[fct_Shipments].[Order_Date (Quarter)].[All]" dimensionUniqueName="[fct_Shipments]" displayFolder="" count="0" memberValueDatatype="130" unbalanced="0"/>
    <cacheHierarchy uniqueName="[fct_Shipments].[Order_Date (Month)]" caption="Order_Date (Month)" attribute="1" defaultMemberUniqueName="[fct_Shipments].[Order_Date (Month)].[All]" allUniqueName="[fct_Shipments].[Order_Date (Month)].[All]" dimensionUniqueName="[fct_Shipments]" displayFolder="" count="2" memberValueDatatype="130" unbalanced="0"/>
    <cacheHierarchy uniqueName="[fct_Shipments].[Order_Date (Month Index)]" caption="Order_Date (Month Index)" attribute="1" defaultMemberUniqueName="[fct_Shipments].[Order_Date (Month Index)].[All]" allUniqueName="[fct_Shipments].[Order_Date (Month Index)].[All]" dimensionUniqueName="[fct_Shipments]" displayFolder="" count="0" memberValueDatatype="20" unbalanced="0" hidden="1"/>
    <cacheHierarchy uniqueName="[fct_Shipments].[Order_Month (Month Index)]" caption="Order_Month (Month Index)" attribute="1" defaultMemberUniqueName="[fct_Shipments].[Order_Month (Month Index)].[All]" allUniqueName="[fct_Shipments].[Order_Month (Month Index)].[All]" dimensionUniqueName="[fct_Shipments]" displayFolder="" count="0" memberValueDatatype="20" unbalanced="0" hidden="1"/>
    <cacheHierarchy uniqueName="[Measures].[Total Shipments]" caption="Total Shipments" measure="1" displayFolder="" measureGroup="fct_Shipments" count="0"/>
    <cacheHierarchy uniqueName="[Measures].[On-Time Shipments]" caption="On-Time Shipments" measure="1" displayFolder="" measureGroup="fct_Shipments" count="0"/>
    <cacheHierarchy uniqueName="[Measures].[SLA Breached Shipments]" caption="SLA Breached Shipments" measure="1" displayFolder="" measureGroup="fct_Shipments" count="0"/>
    <cacheHierarchy uniqueName="[Measures].[SLA Compliance Rate]" caption="SLA Compliance Rate" measure="1" displayFolder="" measureGroup="fct_Shipments" count="0"/>
    <cacheHierarchy uniqueName="[Measures].[SLA Target Gap]" caption="SLA Target Gap" measure="1" displayFolder="" measureGroup="fct_Shipments" count="0"/>
    <cacheHierarchy uniqueName="[Measures].[Total Breach Days]" caption="Total Breach Days" measure="1" displayFolder="" measureGroup="fct_Shipments" count="0"/>
    <cacheHierarchy uniqueName="[Measures].[Avg Delay When Late]" caption="Avg Delay When Late" measure="1" displayFolder="" measureGroup="fct_Shipments" count="0"/>
    <cacheHierarchy uniqueName="[Measures].[Avg Schedule Variance]" caption="Avg Schedule Variance" measure="1" displayFolder="" measureGroup="fct_Shipments" count="0"/>
    <cacheHierarchy uniqueName="[Measures].[Total Freight Cost]" caption="Total Freight Cost" measure="1" displayFolder="" measureGroup="fct_Shipments" count="0"/>
    <cacheHierarchy uniqueName="[Measures].[Total Weight]" caption="Total Weight" measure="1" displayFolder="" measureGroup="fct_Shipments" count="0"/>
    <cacheHierarchy uniqueName="[Measures].[Freight Cost Per Lb]" caption="Freight Cost Per Lb" measure="1" displayFolder="" measureGroup="fct_Shipments" count="0"/>
    <cacheHierarchy uniqueName="[Measures].[Avg Order Freight Cost]" caption="Avg Order Freight Cost" measure="1" displayFolder="" measureGroup="fct_Shipments" count="0"/>
    <cacheHierarchy uniqueName="[Measures].[Modeled Penalty Exposure]" caption="Modeled Penalty Exposure" measure="1" displayFolder="" measureGroup="fct_Shipments" count="0"/>
    <cacheHierarchy uniqueName="[Measures].[__XL_Count dim_Carriers]" caption="__XL_Count dim_Carriers" measure="1" displayFolder="" measureGroup="dim_Carriers" count="0" hidden="1"/>
    <cacheHierarchy uniqueName="[Measures].[__XL_Count dim_Warehouses]" caption="__XL_Count dim_Warehouses" measure="1" displayFolder="" measureGroup="dim_Warehouses" count="0" hidden="1"/>
    <cacheHierarchy uniqueName="[Measures].[__XL_Count fct_Shipments]" caption="__XL_Count fct_Shipments" measure="1" displayFolder="" measureGroup="fct_Shipmen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23562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2D23B0-3A02-45E8-AC62-77B511099032}" name="KPI" cacheId="942" dataOnRows="1" applyNumberFormats="0" applyBorderFormats="0" applyFontFormats="0" applyPatternFormats="0" applyAlignmentFormats="0" applyWidthHeightFormats="1" dataCaption="Values" tag="90be3e11-fe65-4574-89cc-42c4a93ee675" updatedVersion="8" minRefreshableVersion="3" useAutoFormatting="1" subtotalHiddenItems="1" rowGrandTotals="0" colGrandTotals="0" itemPrintTitles="1" createdVersion="8" indent="0" showHeaders="0" compact="0" compactData="0" multipleFieldFilters="0">
  <location ref="A3:B8" firstHeaderRow="0" firstDataRow="0" firstDataCol="1"/>
  <pivotFields count="8">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6">
    <i>
      <x/>
    </i>
    <i i="1">
      <x v="1"/>
    </i>
    <i i="2">
      <x v="2"/>
    </i>
    <i i="3">
      <x v="3"/>
    </i>
    <i i="4">
      <x v="4"/>
    </i>
    <i i="5">
      <x v="5"/>
    </i>
  </rowItems>
  <colItems count="1">
    <i/>
  </colItems>
  <dataFields count="6">
    <dataField fld="0" subtotal="count" baseField="0" baseItem="0" numFmtId="173"/>
    <dataField fld="1" subtotal="count" baseField="0" baseItem="0"/>
    <dataField fld="2" subtotal="count" baseField="0" baseItem="0"/>
    <dataField fld="3" subtotal="count" baseField="0" baseItem="0"/>
    <dataField fld="4" subtotal="count" baseField="0" baseItem="0"/>
    <dataField fld="5" subtotal="count" baseField="0" baseItem="0"/>
  </dataFields>
  <formats count="11">
    <format dxfId="97">
      <pivotArea collapsedLevelsAreSubtotals="1" fieldPosition="0">
        <references count="1">
          <reference field="4294967294" count="1">
            <x v="5"/>
          </reference>
        </references>
      </pivotArea>
    </format>
    <format dxfId="96">
      <pivotArea collapsedLevelsAreSubtotals="1" fieldPosition="0">
        <references count="1">
          <reference field="4294967294" count="1">
            <x v="3"/>
          </reference>
        </references>
      </pivotArea>
    </format>
    <format dxfId="95">
      <pivotArea type="all" dataOnly="0" outline="0" fieldPosition="0"/>
    </format>
    <format dxfId="94">
      <pivotArea outline="0" collapsedLevelsAreSubtotals="1" fieldPosition="0"/>
    </format>
    <format dxfId="93">
      <pivotArea dataOnly="0" labelOnly="1" outline="0" fieldPosition="0">
        <references count="1">
          <reference field="4294967294" count="6">
            <x v="0"/>
            <x v="1"/>
            <x v="2"/>
            <x v="3"/>
            <x v="4"/>
            <x v="5"/>
          </reference>
        </references>
      </pivotArea>
    </format>
    <format dxfId="92">
      <pivotArea outline="0" fieldPosition="0">
        <references count="1">
          <reference field="4294967294" count="1" selected="0">
            <x v="0"/>
          </reference>
        </references>
      </pivotArea>
    </format>
    <format dxfId="91">
      <pivotArea type="all" dataOnly="0" outline="0" fieldPosition="0"/>
    </format>
    <format dxfId="90">
      <pivotArea outline="0" collapsedLevelsAreSubtotals="1" fieldPosition="0"/>
    </format>
    <format dxfId="89">
      <pivotArea dataOnly="0" labelOnly="1" outline="0" fieldPosition="0">
        <references count="1">
          <reference field="4294967294" count="6">
            <x v="0"/>
            <x v="1"/>
            <x v="2"/>
            <x v="3"/>
            <x v="4"/>
            <x v="5"/>
          </reference>
        </references>
      </pivotArea>
    </format>
    <format dxfId="88">
      <pivotArea outline="0" fieldPosition="0">
        <references count="1">
          <reference field="4294967294" count="1" selected="0">
            <x v="0"/>
          </reference>
        </references>
      </pivotArea>
    </format>
    <format dxfId="87">
      <pivotArea outline="0" fieldPosition="0">
        <references count="1">
          <reference field="4294967294" count="1" selected="0">
            <x v="0"/>
          </reference>
        </references>
      </pivotArea>
    </format>
  </formats>
  <pivotHierarchies count="4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ct_Shipments].[Order_Month (Month)].&amp;[Feb]"/>
      </members>
    </pivotHierarchy>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ct_Shipments]"/>
        <x15:activeTabTopLevelEntity name="[dim_Warehouses]"/>
        <x15:activeTabTopLevelEntity name="[dim_Carr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4E27FC-58D3-4D86-BA39-8CAE350DB1C0}" name="Delay Distribution" cacheId="954" applyNumberFormats="0" applyBorderFormats="0" applyFontFormats="0" applyPatternFormats="0" applyAlignmentFormats="0" applyWidthHeightFormats="1" dataCaption="Values" tag="b058626a-4b59-43d2-9514-32f1d36c8e33" updatedVersion="8" minRefreshableVersion="3" useAutoFormatting="1" subtotalHiddenItems="1" rowGrandTotals="0" colGrandTotals="0" itemPrintTitles="1" createdVersion="8" indent="0" showHeaders="0" compact="0" compactData="0" multipleFieldFilters="0">
  <location ref="AB3:AC9" firstHeaderRow="1" firstDataRow="1" firstDataCol="1"/>
  <pivotFields count="3">
    <pivotField axis="axisRow" compact="0" allDrilled="1" outline="0" subtotalTop="0" showAll="0"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i>
    <i>
      <x v="1"/>
    </i>
    <i>
      <x v="2"/>
    </i>
    <i>
      <x v="3"/>
    </i>
    <i>
      <x v="4"/>
    </i>
    <i>
      <x v="5"/>
    </i>
  </rowItems>
  <colItems count="1">
    <i/>
  </colItems>
  <dataFields count="1">
    <dataField fld="1" subtotal="count" showDataAs="percentOfTotal" baseField="0" baseItem="0" numFmtId="10"/>
  </dataFields>
  <formats count="10">
    <format dxfId="44">
      <pivotArea type="all" dataOnly="0" outline="0" fieldPosition="0"/>
    </format>
    <format dxfId="45">
      <pivotArea outline="0" collapsedLevelsAreSubtotals="1" fieldPosition="0"/>
    </format>
    <format dxfId="46">
      <pivotArea dataOnly="0" labelOnly="1" outline="0" fieldPosition="0">
        <references count="1">
          <reference field="0" count="0"/>
        </references>
      </pivotArea>
    </format>
    <format dxfId="47">
      <pivotArea dataOnly="0" labelOnly="1" outline="0" axis="axisValues" fieldPosition="0"/>
    </format>
    <format dxfId="48">
      <pivotArea type="all" dataOnly="0" outline="0" fieldPosition="0"/>
    </format>
    <format dxfId="49">
      <pivotArea outline="0" collapsedLevelsAreSubtotals="1" fieldPosition="0"/>
    </format>
    <format dxfId="50">
      <pivotArea dataOnly="0" labelOnly="1" outline="0" fieldPosition="0">
        <references count="1">
          <reference field="0" count="0"/>
        </references>
      </pivotArea>
    </format>
    <format dxfId="51">
      <pivotArea dataOnly="0" labelOnly="1" outline="0" axis="axisValues" fieldPosition="0"/>
    </format>
    <format dxfId="52">
      <pivotArea outline="0" fieldPosition="0">
        <references count="1">
          <reference field="4294967294" count="1">
            <x v="0"/>
          </reference>
        </references>
      </pivotArea>
    </format>
    <format dxfId="53">
      <pivotArea outline="0" fieldPosition="0">
        <references count="1">
          <reference field="0" count="0" selected="0"/>
        </references>
      </pivotArea>
    </format>
  </formats>
  <pivotHierarchies count="4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ct_Shipments]"/>
        <x15:activeTabTopLevelEntity name="[dim_Warehouses]"/>
        <x15:activeTabTopLevelEntity name="[dim_Carr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E88598-51B4-465C-9D8F-0137058115CE}" name="Region" cacheId="951" applyNumberFormats="0" applyBorderFormats="0" applyFontFormats="0" applyPatternFormats="0" applyAlignmentFormats="0" applyWidthHeightFormats="1" dataCaption="Values" tag="85ca6d07-4143-455d-8341-b9a46842528c" updatedVersion="8" minRefreshableVersion="3" useAutoFormatting="1" subtotalHiddenItems="1" itemPrintTitles="1" createdVersion="8" indent="0" showHeaders="0" compact="0" compactData="0" multipleFieldFilters="0">
  <location ref="V3:Z8" firstHeaderRow="0" firstDataRow="1" firstDataCol="1"/>
  <pivotFields count="5">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1">
    <field x="0"/>
  </rowFields>
  <rowItems count="5">
    <i>
      <x/>
    </i>
    <i>
      <x v="1"/>
    </i>
    <i>
      <x v="2"/>
    </i>
    <i>
      <x v="3"/>
    </i>
    <i t="grand">
      <x/>
    </i>
  </rowItems>
  <colFields count="1">
    <field x="-2"/>
  </colFields>
  <colItems count="4">
    <i>
      <x/>
    </i>
    <i i="1">
      <x v="1"/>
    </i>
    <i i="2">
      <x v="2"/>
    </i>
    <i i="3">
      <x v="3"/>
    </i>
  </colItems>
  <dataFields count="4">
    <dataField fld="4" subtotal="count" baseField="0" baseItem="0"/>
    <dataField fld="1" subtotal="count" baseField="0" baseItem="0"/>
    <dataField fld="2" subtotal="count" baseField="0" baseItem="0" numFmtId="171"/>
    <dataField fld="3" subtotal="count" baseField="0" baseItem="0"/>
  </dataFields>
  <formats count="12">
    <format dxfId="107">
      <pivotArea type="all" dataOnly="0" outline="0" fieldPosition="0"/>
    </format>
    <format dxfId="106">
      <pivotArea outline="0" collapsedLevelsAreSubtotals="1" fieldPosition="0"/>
    </format>
    <format dxfId="105">
      <pivotArea dataOnly="0" labelOnly="1" outline="0" fieldPosition="0">
        <references count="1">
          <reference field="0" count="0"/>
        </references>
      </pivotArea>
    </format>
    <format dxfId="104">
      <pivotArea dataOnly="0" labelOnly="1" grandRow="1" outline="0" fieldPosition="0"/>
    </format>
    <format dxfId="103">
      <pivotArea dataOnly="0" labelOnly="1" outline="0" fieldPosition="0">
        <references count="1">
          <reference field="4294967294" count="4">
            <x v="0"/>
            <x v="1"/>
            <x v="2"/>
            <x v="3"/>
          </reference>
        </references>
      </pivotArea>
    </format>
    <format dxfId="102">
      <pivotArea type="all" dataOnly="0" outline="0" fieldPosition="0"/>
    </format>
    <format dxfId="101">
      <pivotArea outline="0" collapsedLevelsAreSubtotals="1" fieldPosition="0"/>
    </format>
    <format dxfId="100">
      <pivotArea dataOnly="0" labelOnly="1" outline="0" fieldPosition="0">
        <references count="1">
          <reference field="0" count="0"/>
        </references>
      </pivotArea>
    </format>
    <format dxfId="99">
      <pivotArea dataOnly="0" labelOnly="1" grandRow="1" outline="0" fieldPosition="0"/>
    </format>
    <format dxfId="98">
      <pivotArea dataOnly="0" labelOnly="1" outline="0" fieldPosition="0">
        <references count="1">
          <reference field="4294967294" count="4">
            <x v="0"/>
            <x v="1"/>
            <x v="2"/>
            <x v="3"/>
          </reference>
        </references>
      </pivotArea>
    </format>
    <format dxfId="79">
      <pivotArea outline="0" fieldPosition="0">
        <references count="1">
          <reference field="4294967294" count="1" selected="0">
            <x v="2"/>
          </reference>
        </references>
      </pivotArea>
    </format>
    <format dxfId="78">
      <pivotArea dataOnly="0" labelOnly="1" outline="0" fieldPosition="0">
        <references count="1">
          <reference field="4294967294" count="1">
            <x v="2"/>
          </reference>
        </references>
      </pivotArea>
    </format>
  </formats>
  <pivotHierarchies count="4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Warehouses]"/>
        <x15:activeTabTopLevelEntity name="[fct_Shipments]"/>
        <x15:activeTabTopLevelEntity name="[dim_Carr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72D851-C787-477B-BA53-A9302DF744E1}" name="Warehouse" cacheId="948" applyNumberFormats="0" applyBorderFormats="0" applyFontFormats="0" applyPatternFormats="0" applyAlignmentFormats="0" applyWidthHeightFormats="1" dataCaption="Values" tag="1d8048a9-87e2-4f55-86cb-59e439409b6e" updatedVersion="8" minRefreshableVersion="3" subtotalHiddenItems="1" itemPrintTitles="1" createdVersion="8" indent="0" showHeaders="0" compact="0" compactData="0" multipleFieldFilters="0">
  <location ref="P3:T11" firstHeaderRow="1" firstDataRow="2" firstDataCol="1"/>
  <pivotFields count="4">
    <pivotField axis="axisRow" compact="0" allDrilled="1" outline="0" subtotalTop="0" showAll="0" dataSourceSort="1" defaultSubtotal="0" defaultAttributeDrillState="1">
      <items count="6">
        <item x="0"/>
        <item x="1"/>
        <item x="2"/>
        <item x="3"/>
        <item x="4"/>
        <item x="5"/>
      </items>
    </pivotField>
    <pivotField axis="axisCol"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7">
    <i>
      <x/>
    </i>
    <i>
      <x v="1"/>
    </i>
    <i>
      <x v="2"/>
    </i>
    <i>
      <x v="3"/>
    </i>
    <i>
      <x v="4"/>
    </i>
    <i>
      <x v="5"/>
    </i>
    <i t="grand">
      <x/>
    </i>
  </rowItems>
  <colFields count="1">
    <field x="1"/>
  </colFields>
  <colItems count="4">
    <i>
      <x/>
    </i>
    <i>
      <x v="1"/>
    </i>
    <i>
      <x v="2"/>
    </i>
    <i t="grand">
      <x/>
    </i>
  </colItems>
  <dataFields count="1">
    <dataField fld="2" subtotal="count" showDataAs="percentOfRow" baseField="0" baseItem="0" numFmtId="168"/>
  </dataFields>
  <formats count="18">
    <format dxfId="120">
      <pivotArea outline="0" collapsedLevelsAreSubtotals="1" fieldPosition="0"/>
    </format>
    <format dxfId="119">
      <pivotArea dataOnly="0" labelOnly="1" outline="0" fieldPosition="0">
        <references count="1">
          <reference field="0" count="0"/>
        </references>
      </pivotArea>
    </format>
    <format dxfId="118">
      <pivotArea dataOnly="0" labelOnly="1" grandRow="1" outline="0" fieldPosition="0"/>
    </format>
    <format dxfId="117">
      <pivotArea dataOnly="0" labelOnly="1" outline="0" fieldPosition="0">
        <references count="1">
          <reference field="1" count="0"/>
        </references>
      </pivotArea>
    </format>
    <format dxfId="116">
      <pivotArea dataOnly="0" labelOnly="1" grandCol="1" outline="0" fieldPosition="0"/>
    </format>
    <format dxfId="115">
      <pivotArea type="all" dataOnly="0" outline="0" fieldPosition="0"/>
    </format>
    <format dxfId="114">
      <pivotArea outline="0" collapsedLevelsAreSubtotals="1" fieldPosition="0"/>
    </format>
    <format dxfId="113">
      <pivotArea type="origin" dataOnly="0" labelOnly="1" outline="0" fieldPosition="0"/>
    </format>
    <format dxfId="112">
      <pivotArea type="topRight" dataOnly="0" labelOnly="1" outline="0" fieldPosition="0"/>
    </format>
    <format dxfId="111">
      <pivotArea dataOnly="0" labelOnly="1" outline="0" fieldPosition="0">
        <references count="1">
          <reference field="0" count="0"/>
        </references>
      </pivotArea>
    </format>
    <format dxfId="110">
      <pivotArea dataOnly="0" labelOnly="1" grandRow="1" outline="0" fieldPosition="0"/>
    </format>
    <format dxfId="109">
      <pivotArea dataOnly="0" labelOnly="1" outline="0" fieldPosition="0">
        <references count="1">
          <reference field="1" count="0"/>
        </references>
      </pivotArea>
    </format>
    <format dxfId="108">
      <pivotArea dataOnly="0" labelOnly="1" grandCol="1" outline="0" fieldPosition="0"/>
    </format>
    <format dxfId="76">
      <pivotArea dataOnly="0" labelOnly="1" outline="0" fieldPosition="0">
        <references count="1">
          <reference field="0" count="0"/>
        </references>
      </pivotArea>
    </format>
    <format dxfId="75">
      <pivotArea dataOnly="0" labelOnly="1" grandRow="1" outline="0" fieldPosition="0"/>
    </format>
    <format dxfId="54">
      <pivotArea outline="0" fieldPosition="0">
        <references count="2">
          <reference field="0" count="1" selected="0">
            <x v="1"/>
          </reference>
          <reference field="1" count="1" selected="0">
            <x v="0"/>
          </reference>
        </references>
      </pivotArea>
    </format>
    <format dxfId="33">
      <pivotArea outline="0" fieldPosition="0">
        <references count="1">
          <reference field="4294967294" count="1">
            <x v="0"/>
          </reference>
        </references>
      </pivotArea>
    </format>
    <format dxfId="32">
      <pivotArea outline="0" collapsedLevelsAreSubtotals="1" fieldPosition="0"/>
    </format>
  </formats>
  <pivotHierarchies count="4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Warehouses]"/>
        <x15:activeTabTopLevelEntity name="[fct_Shipments]"/>
        <x15:activeTabTopLevelEntity name="[dim_Carr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B63AC7-6D41-477A-934C-361541CA8B20}" name="Carrier" cacheId="945" applyNumberFormats="0" applyBorderFormats="0" applyFontFormats="0" applyPatternFormats="0" applyAlignmentFormats="0" applyWidthHeightFormats="1" dataCaption="Values" tag="4173de16-a5e2-4460-bfba-836e703a3c50" updatedVersion="8" minRefreshableVersion="3" useAutoFormatting="1" subtotalHiddenItems="1" itemPrintTitles="1" createdVersion="8" indent="0" showHeaders="0" compact="0" compactData="0" multipleFieldFilters="0">
  <location ref="I3:N9" firstHeaderRow="0" firstDataRow="1" firstDataCol="1"/>
  <pivotFields count="7">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6">
    <i>
      <x/>
    </i>
    <i>
      <x v="1"/>
    </i>
    <i>
      <x v="2"/>
    </i>
    <i>
      <x v="3"/>
    </i>
    <i>
      <x v="4"/>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numFmtId="171"/>
  </dataFields>
  <formats count="12">
    <format dxfId="132">
      <pivotArea type="all" dataOnly="0" outline="0" fieldPosition="0"/>
    </format>
    <format dxfId="131">
      <pivotArea outline="0" collapsedLevelsAreSubtotals="1" fieldPosition="0"/>
    </format>
    <format dxfId="130">
      <pivotArea dataOnly="0" labelOnly="1" outline="0" fieldPosition="0">
        <references count="1">
          <reference field="0" count="0"/>
        </references>
      </pivotArea>
    </format>
    <format dxfId="129">
      <pivotArea dataOnly="0" labelOnly="1" grandRow="1" outline="0" fieldPosition="0"/>
    </format>
    <format dxfId="128">
      <pivotArea dataOnly="0" labelOnly="1" outline="0" fieldPosition="0">
        <references count="1">
          <reference field="4294967294" count="5">
            <x v="0"/>
            <x v="1"/>
            <x v="2"/>
            <x v="3"/>
            <x v="4"/>
          </reference>
        </references>
      </pivotArea>
    </format>
    <format dxfId="127">
      <pivotArea outline="0" fieldPosition="0">
        <references count="1">
          <reference field="4294967294" count="1" selected="0">
            <x v="4"/>
          </reference>
        </references>
      </pivotArea>
    </format>
    <format dxfId="126">
      <pivotArea dataOnly="0" labelOnly="1" outline="0" fieldPosition="0">
        <references count="1">
          <reference field="4294967294" count="1">
            <x v="4"/>
          </reference>
        </references>
      </pivotArea>
    </format>
    <format dxfId="125">
      <pivotArea type="all" dataOnly="0" outline="0" fieldPosition="0"/>
    </format>
    <format dxfId="124">
      <pivotArea outline="0" collapsedLevelsAreSubtotals="1" fieldPosition="0"/>
    </format>
    <format dxfId="123">
      <pivotArea dataOnly="0" labelOnly="1" outline="0" fieldPosition="0">
        <references count="1">
          <reference field="0" count="0"/>
        </references>
      </pivotArea>
    </format>
    <format dxfId="122">
      <pivotArea dataOnly="0" labelOnly="1" grandRow="1" outline="0" fieldPosition="0"/>
    </format>
    <format dxfId="121">
      <pivotArea dataOnly="0" labelOnly="1" outline="0" fieldPosition="0">
        <references count="1">
          <reference field="4294967294" count="5">
            <x v="0"/>
            <x v="1"/>
            <x v="2"/>
            <x v="3"/>
            <x v="4"/>
          </reference>
        </references>
      </pivotArea>
    </format>
  </formats>
  <pivotHierarchies count="4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rriers]"/>
        <x15:activeTabTopLevelEntity name="[fct_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86289-680B-40E3-853A-0C8705B399E6}" name="PivotTable1" cacheId="774" applyNumberFormats="0" applyBorderFormats="0" applyFontFormats="0" applyPatternFormats="0" applyAlignmentFormats="0" applyWidthHeightFormats="1" dataCaption="Values" tag="23d6b705-96fa-4eeb-a7a0-4322dbdfaed3" updatedVersion="8" minRefreshableVersion="3" useAutoFormatting="1" subtotalHiddenItems="1" rowGrandTotals="0" colGrandTotals="0" itemPrintTitles="1" createdVersion="8" indent="0" outline="1" outlineData="1" multipleFieldFilters="0" rowHeaderCaption="">
  <location ref="D3:F17"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s>
  <rowFields count="2">
    <field x="3"/>
    <field x="2"/>
  </rowFields>
  <rowItems count="14">
    <i>
      <x/>
    </i>
    <i r="1">
      <x/>
    </i>
    <i r="1">
      <x v="1"/>
    </i>
    <i r="1">
      <x v="2"/>
    </i>
    <i r="1">
      <x v="3"/>
    </i>
    <i r="1">
      <x v="4"/>
    </i>
    <i>
      <x v="1"/>
    </i>
    <i r="1">
      <x v="5"/>
    </i>
    <i r="1">
      <x v="6"/>
    </i>
    <i r="1">
      <x v="7"/>
    </i>
    <i r="1">
      <x v="8"/>
    </i>
    <i r="1">
      <x v="9"/>
    </i>
    <i r="1">
      <x v="10"/>
    </i>
    <i r="1">
      <x v="11"/>
    </i>
  </rowItems>
  <colFields count="1">
    <field x="-2"/>
  </colFields>
  <colItems count="2">
    <i>
      <x/>
    </i>
    <i i="1">
      <x v="1"/>
    </i>
  </colItems>
  <dataFields count="2">
    <dataField fld="0" subtotal="count" baseField="0" baseItem="0"/>
    <dataField fld="1" subtotal="count" baseField="0" baseItem="0"/>
  </dataFields>
  <formats count="7">
    <format dxfId="139">
      <pivotArea type="all" dataOnly="0" outline="0" fieldPosition="0"/>
    </format>
    <format dxfId="138">
      <pivotArea outline="0" collapsedLevelsAreSubtotals="1" fieldPosition="0"/>
    </format>
    <format dxfId="137">
      <pivotArea dataOnly="0" labelOnly="1" outline="0" fieldPosition="0">
        <references count="1">
          <reference field="4294967294" count="2">
            <x v="0"/>
            <x v="1"/>
          </reference>
        </references>
      </pivotArea>
    </format>
    <format dxfId="136">
      <pivotArea field="3" type="button" dataOnly="0" labelOnly="1" outline="0" axis="axisRow" fieldPosition="0"/>
    </format>
    <format dxfId="135">
      <pivotArea dataOnly="0" labelOnly="1" fieldPosition="0">
        <references count="1">
          <reference field="3" count="0"/>
        </references>
      </pivotArea>
    </format>
    <format dxfId="134">
      <pivotArea dataOnly="0" labelOnly="1" fieldPosition="0">
        <references count="2">
          <reference field="2" count="5">
            <x v="0"/>
            <x v="1"/>
            <x v="2"/>
            <x v="3"/>
            <x v="4"/>
          </reference>
          <reference field="3" count="1" selected="0">
            <x v="0"/>
          </reference>
        </references>
      </pivotArea>
    </format>
    <format dxfId="133">
      <pivotArea dataOnly="0" labelOnly="1" fieldPosition="0">
        <references count="2">
          <reference field="2" count="7">
            <x v="5"/>
            <x v="6"/>
            <x v="7"/>
            <x v="8"/>
            <x v="9"/>
            <x v="10"/>
            <x v="11"/>
          </reference>
          <reference field="3" count="1" selected="0">
            <x v="1"/>
          </reference>
        </references>
      </pivotArea>
    </format>
  </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5"/>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ct_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83AC22-2807-4690-8A82-87E5030E96E9}" name="PivotTable1" cacheId="0" applyNumberFormats="0" applyBorderFormats="0" applyFontFormats="0" applyPatternFormats="0" applyAlignmentFormats="0" applyWidthHeightFormats="1" dataCaption="Values" tag="a985eaa0-b131-4f0b-8916-ff7024f29f9c" updatedVersion="8" minRefreshableVersion="3" useAutoFormatting="1" subtotalHiddenItems="1" itemPrintTitles="1" createdVersion="8" indent="0" outline="1" outlineData="1" multipleFieldFilters="0">
  <location ref="A1:M2" firstHeaderRow="0" firstDataRow="1" firstDataCol="0"/>
  <pivotFields count="14">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3">
    <i>
      <x/>
    </i>
    <i i="1">
      <x v="1"/>
    </i>
    <i i="2">
      <x v="2"/>
    </i>
    <i i="3">
      <x v="3"/>
    </i>
    <i i="4">
      <x v="4"/>
    </i>
    <i i="5">
      <x v="5"/>
    </i>
    <i i="6">
      <x v="6"/>
    </i>
    <i i="7">
      <x v="7"/>
    </i>
    <i i="8">
      <x v="8"/>
    </i>
    <i i="9">
      <x v="9"/>
    </i>
    <i i="10">
      <x v="10"/>
    </i>
    <i i="11">
      <x v="11"/>
    </i>
    <i i="12">
      <x v="12"/>
    </i>
  </colItems>
  <dataFields count="13">
    <dataField fld="0" subtotal="count" baseField="0" baseItem="0" numFmtId="3"/>
    <dataField fld="1" subtotal="count" baseField="0" baseItem="0"/>
    <dataField fld="2" subtotal="count" baseField="0" baseItem="0"/>
    <dataField fld="3" subtotal="count" baseField="0" baseItem="0" numFmtId="167"/>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s>
  <formats count="3">
    <format dxfId="82">
      <pivotArea outline="0" collapsedLevelsAreSubtotals="1" fieldPosition="0">
        <references count="1">
          <reference field="4294967294" count="1" selected="0">
            <x v="0"/>
          </reference>
        </references>
      </pivotArea>
    </format>
    <format dxfId="81">
      <pivotArea dataOnly="0" labelOnly="1" outline="0" fieldPosition="0">
        <references count="1">
          <reference field="4294967294" count="1">
            <x v="0"/>
          </reference>
        </references>
      </pivotArea>
    </format>
    <format dxfId="80">
      <pivotArea outline="0" collapsedLevelsAreSubtotals="1" fieldPosition="0">
        <references count="1">
          <reference field="4294967294" count="1" selected="0">
            <x v="3"/>
          </reference>
        </references>
      </pivotArea>
    </format>
  </formats>
  <pivotHierarchies count="47">
    <pivotHierarchy dragToData="1"/>
    <pivotHierarchy multipleItemSelectionAllowed="1" dragToData="1">
      <members count="1" level="1">
        <member name="[dim_Carriers].[Carrier_Name].&amp;[FreightPuls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ct_Shipm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085DC9-C2B3-4A9F-9DED-D42C51E9C411}" sourceName="[dim_Warehouses].[Region]">
  <pivotTables>
    <pivotTable tabId="6" name="KPI"/>
    <pivotTable tabId="6" name="Carrier"/>
    <pivotTable tabId="6" name="Warehouse"/>
    <pivotTable tabId="6" name="Region"/>
    <pivotTable tabId="6" name="Delay Distribution"/>
  </pivotTables>
  <data>
    <olap pivotCacheId="275239068">
      <levels count="2">
        <level uniqueName="[dim_Warehouses].[Region].[(All)]" sourceCaption="(All)" count="0"/>
        <level uniqueName="[dim_Warehouses].[Region].[Region]" sourceCaption="Region" count="4">
          <ranges>
            <range startItem="0">
              <i n="[dim_Warehouses].[Region].&amp;[US-Central]" c="US-Central"/>
              <i n="[dim_Warehouses].[Region].&amp;[US-East]" c="US-East"/>
              <i n="[dim_Warehouses].[Region].&amp;[US-South]" c="US-South"/>
              <i n="[dim_Warehouses].[Region].&amp;[US-West]" c="US-West"/>
            </range>
          </ranges>
        </level>
      </levels>
      <selections count="1">
        <selection n="[dim_Warehouse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_Name" xr10:uid="{64BCD519-D2DB-4C27-B174-9FAFCA239323}" sourceName="[dim_Carriers].[Carrier_Name]">
  <pivotTables>
    <pivotTable tabId="6" name="KPI"/>
    <pivotTable tabId="6" name="Carrier"/>
    <pivotTable tabId="6" name="Warehouse"/>
    <pivotTable tabId="6" name="Region"/>
    <pivotTable tabId="6" name="Delay Distribution"/>
  </pivotTables>
  <data>
    <olap pivotCacheId="275239068">
      <levels count="2">
        <level uniqueName="[dim_Carriers].[Carrier_Name].[(All)]" sourceCaption="(All)" count="0"/>
        <level uniqueName="[dim_Carriers].[Carrier_Name].[Carrier_Name]" sourceCaption="Carrier_Name" count="5">
          <ranges>
            <range startItem="0">
              <i n="[dim_Carriers].[Carrier_Name].&amp;[Apex Freight]" c="Apex Freight"/>
              <i n="[dim_Carriers].[Carrier_Name].&amp;[FreightPulse]" c="FreightPulse"/>
              <i n="[dim_Carriers].[Carrier_Name].&amp;[RailLink Logistics]" c="RailLink Logistics"/>
              <i n="[dim_Carriers].[Carrier_Name].&amp;[Swift Express]" c="Swift Express"/>
              <i n="[dim_Carriers].[Carrier_Name].&amp;[Velocity Transport]" c="Velocity Transport"/>
            </range>
          </ranges>
        </level>
      </levels>
      <selections count="1">
        <selection n="[dim_Carriers].[Carrier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6806765F-A711-4551-A848-09B3F8BEB0D8}" sourceName="[fct_Shipments].[Order_Date (Year)]">
  <pivotTables>
    <pivotTable tabId="6" name="PivotTable1"/>
    <pivotTable tabId="6" name="Carrier"/>
    <pivotTable tabId="6" name="Delay Distribution"/>
    <pivotTable tabId="6" name="KPI"/>
    <pivotTable tabId="6" name="Region"/>
    <pivotTable tabId="6" name="Warehouse"/>
  </pivotTables>
  <data>
    <olap pivotCacheId="42356266">
      <levels count="2">
        <level uniqueName="[fct_Shipments].[Order_Date (Year)].[(All)]" sourceCaption="(All)" count="0"/>
        <level uniqueName="[fct_Shipments].[Order_Date (Year)].[Order_Date (Year)]" sourceCaption="Order_Date (Year)" count="2">
          <ranges>
            <range startItem="0">
              <i n="[fct_Shipments].[Order_Date (Year)].&amp;[2025]" c="2025"/>
              <i n="[fct_Shipments].[Order_Date (Year)].&amp;[2026]" c="2026"/>
            </range>
          </ranges>
        </level>
      </levels>
      <selections count="1">
        <selection n="[fct_Shipments].[Order_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55F2ED3B-48BB-4BD0-B5FF-955159316C6C}" sourceName="[fct_Shipments].[Order_Date (Month)]">
  <pivotTables>
    <pivotTable tabId="6" name="PivotTable1"/>
    <pivotTable tabId="6" name="Carrier"/>
    <pivotTable tabId="6" name="Delay Distribution"/>
    <pivotTable tabId="6" name="KPI"/>
    <pivotTable tabId="6" name="Region"/>
    <pivotTable tabId="6" name="Warehouse"/>
  </pivotTables>
  <data>
    <olap pivotCacheId="42356266">
      <levels count="2">
        <level uniqueName="[fct_Shipments].[Order_Date (Month)].[(All)]" sourceCaption="(All)" count="0"/>
        <level uniqueName="[fct_Shipments].[Order_Date (Month)].[Order_Date (Month)]" sourceCaption="Order_Date (Month)" count="12">
          <ranges>
            <range startItem="0">
              <i n="[fct_Shipments].[Order_Date (Month)].&amp;[Jan]" c="Jan"/>
              <i n="[fct_Shipments].[Order_Date (Month)].&amp;[Feb]" c="Feb"/>
              <i n="[fct_Shipments].[Order_Date (Month)].&amp;[Mar]" c="Mar"/>
              <i n="[fct_Shipments].[Order_Date (Month)].&amp;[Apr]" c="Apr"/>
              <i n="[fct_Shipments].[Order_Date (Month)].&amp;[May]" c="May"/>
              <i n="[fct_Shipments].[Order_Date (Month)].&amp;[Jun]" c="Jun"/>
              <i n="[fct_Shipments].[Order_Date (Month)].&amp;[Jul]" c="Jul"/>
              <i n="[fct_Shipments].[Order_Date (Month)].&amp;[Aug]" c="Aug"/>
              <i n="[fct_Shipments].[Order_Date (Month)].&amp;[Sep]" c="Sep"/>
              <i n="[fct_Shipments].[Order_Date (Month)].&amp;[Oct]" c="Oct"/>
              <i n="[fct_Shipments].[Order_Date (Month)].&amp;[Nov]" c="Nov"/>
              <i n="[fct_Shipments].[Order_Date (Month)].&amp;[Dec]" c="Dec"/>
            </range>
          </ranges>
        </level>
      </levels>
      <selections count="1">
        <selection n="[fct_Shipments].[Order_Date (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4EF05E1E-183B-4AF9-BDD5-C8191C6B41D9}" sourceName="Priority">
  <extLst>
    <x:ext xmlns:x15="http://schemas.microsoft.com/office/spreadsheetml/2010/11/main" uri="{2F2917AC-EB37-4324-AD4E-5DD8C200BD13}">
      <x15:tableSlicerCache tableId="19"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845BF631-B278-456A-8B5F-20440938F98F}" sourceName="Area">
  <extLst>
    <x:ext xmlns:x15="http://schemas.microsoft.com/office/spreadsheetml/2010/11/main" uri="{2F2917AC-EB37-4324-AD4E-5DD8C200BD13}">
      <x15:tableSlicerCache tableId="19" column="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line" xr10:uid="{F324DE53-111E-4D8F-969B-4DF08BB96CF9}" sourceName="Timeline">
  <extLst>
    <x:ext xmlns:x15="http://schemas.microsoft.com/office/spreadsheetml/2010/11/main" uri="{2F2917AC-EB37-4324-AD4E-5DD8C200BD13}">
      <x15:tableSlicerCache tableId="19"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7E55DCE-0B7A-4F4D-828C-E47882B9A3D7}" cache="Slicer_Region" caption="Region" columnCount="2" level="1" style="Supply Chain Dashboard" rowHeight="241300"/>
  <slicer name="Carrier_Name 1" xr10:uid="{FA638EB3-9FC6-4440-BDF1-17EA741291AA}" cache="Slicer_Carrier_Name" caption="Carrier" columnCount="3" level="1" style="Supply Chain Dashboard" rowHeight="241300"/>
  <slicer name="Order_Date (Year) 2" xr10:uid="{955E3C89-C46A-4838-83A0-27B13F7617D7}" cache="Slicer_Order_Date__Year" caption="Order Year" level="1" style="Supply Chain Dashboard" rowHeight="241300"/>
  <slicer name="Order_Date (Month) 1" xr10:uid="{7C3D1ACF-2E12-4785-B6A7-439D85C37E42}" cache="Slicer_Order_Date__Month" caption="Order Month" columnCount="4" level="1" style="Supply Chain Dashboar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1" xr10:uid="{073CFE2D-790F-427D-8217-FA6D69F34C71}" cache="Slicer_Priority" caption="Priority" columnCount="4" showCaption="0" style="Supply Chain Dashboard 2" rowHeight="241300"/>
  <slicer name="Area 1" xr10:uid="{EDD62D9D-C98F-4F4B-9189-E4E99EE1101F}" cache="Slicer_Area" caption="Area" columnCount="5" showCaption="0" style="Supply Chain Dashboard 2" rowHeight="241300"/>
  <slicer name="Timeline" xr10:uid="{2C19AC52-8DD6-4C67-9266-B3A0D8E0E79A}" cache="Slicer_Timeline" caption="Timeline" columnCount="4" showCaption="0" style="Supply Chain Dashboard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44BD09E-1107-46E3-A60D-566B5B18BBB4}" name="tbl_Action" displayName="tbl_Action" ref="B105:G110" headerRowDxfId="24" dataDxfId="22" totalsRowDxfId="23" tableBorderDxfId="31">
  <autoFilter ref="B105:G110" xr:uid="{144BD09E-1107-46E3-A60D-566B5B18BBB4}"/>
  <tableColumns count="6">
    <tableColumn id="1" xr3:uid="{0AA0FBE5-0190-4CB4-9083-11E0AE01BC62}" name="Priority" totalsRowLabel="Total" dataDxfId="30"/>
    <tableColumn id="2" xr3:uid="{F5A7554C-935D-4CC9-8F52-81C9C595F876}" name="Area" dataDxfId="29"/>
    <tableColumn id="3" xr3:uid="{0568CB0A-4770-4BD7-87F8-E83B2297D097}" name="Finding" dataDxfId="28"/>
    <tableColumn id="4" xr3:uid="{7E35A006-5F08-47E2-9FA0-E02DA4FAA6C1}" name="Recommended Action" dataDxfId="27"/>
    <tableColumn id="5" xr3:uid="{26DBFFFB-A09B-477F-9196-637B8C5C9690}" name="Owner" totalsRowFunction="count" dataDxfId="26"/>
    <tableColumn id="6" xr3:uid="{2E89D698-25CA-4871-8FF3-3EA94F133674}" name="Timeline"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A7238F-3BEE-4607-8218-9412E5502835}" name="Trend" displayName="Trend" ref="B2:D14" totalsRowShown="0" headerRowDxfId="71" dataDxfId="70">
  <autoFilter ref="B2:D14" xr:uid="{21A7238F-3BEE-4607-8218-9412E5502835}"/>
  <tableColumns count="3">
    <tableColumn id="1" xr3:uid="{7F8D1445-D180-42D6-9E8A-74D3DE5F4DE9}" name="Month" dataDxfId="74"/>
    <tableColumn id="2" xr3:uid="{4F9189EC-4D16-4F9D-8FB8-A1BC56B003BC}" name="SLA Compliance Rate" dataDxfId="73" dataCellStyle="Percent"/>
    <tableColumn id="3" xr3:uid="{584A1AEC-C179-459A-BCDB-B52F6C37C93B}" name="Target" dataDxfId="72" dataCellStyle="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9FDDE20-9C6F-465C-BF75-2F60736807B8}" name="Carrier" displayName="Carrier" ref="B19:D24" totalsRowShown="0" headerRowDxfId="66" dataDxfId="65">
  <autoFilter ref="B19:D24" xr:uid="{09FDDE20-9C6F-465C-BF75-2F60736807B8}"/>
  <sortState xmlns:xlrd2="http://schemas.microsoft.com/office/spreadsheetml/2017/richdata2" ref="B20:D24">
    <sortCondition descending="1" ref="D19:D24"/>
  </sortState>
  <tableColumns count="3">
    <tableColumn id="1" xr3:uid="{C3FC0D81-740E-496A-B7AA-C9092062E162}" name="Carrier" dataDxfId="69"/>
    <tableColumn id="2" xr3:uid="{C1CF771E-6CB3-4A93-92DD-AF018FF4153A}" name="Total Shipments" dataDxfId="68"/>
    <tableColumn id="3" xr3:uid="{A8D12006-5BBD-4388-999A-F50B63B1CDEB}" name="SLA Compliance Rate" dataDxfId="67" dataCellStyle="Perc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472AD6-0DEC-4CD2-9F62-9E4FABA73D91}" name="Region" displayName="Region" ref="B49:D53" totalsRowShown="0" headerRowDxfId="61" dataDxfId="60" tableBorderDxfId="77">
  <autoFilter ref="B49:D53" xr:uid="{A5472AD6-0DEC-4CD2-9F62-9E4FABA73D91}"/>
  <tableColumns count="3">
    <tableColumn id="1" xr3:uid="{800697F6-7015-4D3E-9DA1-8642A798D35B}" name="Region" dataDxfId="64"/>
    <tableColumn id="2" xr3:uid="{1FDC328E-D46C-4217-B0F1-81E497B27CD4}" name="SLA Compliance Rate" dataDxfId="63"/>
    <tableColumn id="3" xr3:uid="{BD25AFB3-2DF6-4E2B-A842-1A2519F84263}" name="Total Shipments" dataDxfId="6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F572B7F-C24C-401F-9929-F81116D0370B}" name="Table11" displayName="Table11" ref="B68:E74" totalsRowShown="0" headerRowDxfId="55" dataDxfId="56" tableBorderDxfId="59">
  <autoFilter ref="B68:E74" xr:uid="{DF572B7F-C24C-401F-9929-F81116D0370B}"/>
  <sortState xmlns:xlrd2="http://schemas.microsoft.com/office/spreadsheetml/2017/richdata2" ref="B69:E74">
    <sortCondition ref="E68:E74"/>
  </sortState>
  <tableColumns count="4">
    <tableColumn id="1" xr3:uid="{B38C11E2-3902-4112-8145-285019A02980}" name="Warehouse" dataDxfId="58"/>
    <tableColumn id="2" xr3:uid="{43843F95-82B8-43E2-9EF9-E13B018113D0}" name="Minor Delay" dataDxfId="57" dataCellStyle="Percent"/>
    <tableColumn id="3" xr3:uid="{C2CB3C0E-B2F1-4EC7-9AA8-6B90C45FDBA3}" name="On-Time" dataDxfId="35"/>
    <tableColumn id="4" xr3:uid="{2443B1D1-76F2-4A01-849B-91331F705D87}" name="SLA Breach" dataDxfId="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59B500C-0E31-4844-80FD-72EA1CEB5863}" name="Table12" displayName="Table12" ref="B87:C93" totalsRowShown="0">
  <autoFilter ref="B87:C93" xr:uid="{359B500C-0E31-4844-80FD-72EA1CEB5863}"/>
  <tableColumns count="2">
    <tableColumn id="1" xr3:uid="{D1F98BD3-A1B2-455E-B9FC-8C42BF7AF49C}" name="Days" dataDxfId="43"/>
    <tableColumn id="2" xr3:uid="{A1612001-057A-4A17-B2B4-EE78EC1B31D6}" name="Total Shipments" dataDxfId="42" dataCellStyle="Perce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A24C915-B042-4FBB-ADF3-AF03EAA29746}" name="Table16" displayName="Table16" ref="B102:E107" totalsRowShown="0" dataDxfId="36" tableBorderDxfId="41">
  <autoFilter ref="B102:E107" xr:uid="{EA24C915-B042-4FBB-ADF3-AF03EAA29746}"/>
  <tableColumns count="4">
    <tableColumn id="1" xr3:uid="{F90D40F3-4816-4E6F-8CF8-5F25625A852A}" name="Buffer" dataDxfId="40"/>
    <tableColumn id="2" xr3:uid="{29886E03-C00B-461D-A8EA-055994B61901}" name="Penalty" dataDxfId="39"/>
    <tableColumn id="3" xr3:uid="{B72454DB-D825-400A-B113-2ACEEC522F14}" name="Compliance" dataDxfId="38" dataCellStyle="Percent"/>
    <tableColumn id="4" xr3:uid="{B8D01434-EA6A-4217-91ED-B792854F3EA2}" name="Target" dataDxfId="3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9F6C325-065F-4FF5-8FE0-03F4BC3FA37D}" name="Table8" displayName="Table8" ref="B3:D7" totalsRowShown="0">
  <autoFilter ref="B3:D7" xr:uid="{A9F6C325-065F-4FF5-8FE0-03F4BC3FA37D}"/>
  <tableColumns count="3">
    <tableColumn id="1" xr3:uid="{654D1F84-61BC-4784-B7BB-3F18A3F6FF63}" name="Label"/>
    <tableColumn id="2" xr3:uid="{222FFB18-5117-4DAE-9C35-DAFD63257C9B}" name="Value"/>
    <tableColumn id="3" xr3:uid="{02E2C82F-A4F8-418F-AB3B-0CC3476EC7E7}" name="Forma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BF6E09-62C9-4F56-8144-3BBD05EE1A1D}" name="Table4" displayName="Table4" ref="A1:D6" totalsRowShown="0">
  <autoFilter ref="A1:D6" xr:uid="{C3BF6E09-62C9-4F56-8144-3BBD05EE1A1D}"/>
  <tableColumns count="4">
    <tableColumn id="1" xr3:uid="{9FE46F1A-1C1C-4322-BECD-1C0673C42B48}" name="Carrier_ID"/>
    <tableColumn id="2" xr3:uid="{0820F6FB-B334-4B48-A957-094B2CD9B07A}" name="Carrier_Name"/>
    <tableColumn id="3" xr3:uid="{CC4FAB22-9186-4AED-8615-A479B9442401}" name="SLA_Target_Days"/>
    <tableColumn id="4" xr3:uid="{B78E634E-68CA-4EE3-A800-2F1BCF2A17DF}" name="Base_Cost_Per_Shipme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30EE6DA-044B-4B61-A1A4-1EF132CA2357}" name="Table5" displayName="Table5" ref="A1:E7" totalsRowShown="0">
  <autoFilter ref="A1:E7" xr:uid="{730EE6DA-044B-4B61-A1A4-1EF132CA2357}"/>
  <tableColumns count="5">
    <tableColumn id="1" xr3:uid="{01DB81CD-4E96-4E2D-9E1D-E174D3048D88}" name="Warehouse_ID"/>
    <tableColumn id="2" xr3:uid="{BFB1F787-D9A0-4EB6-8BA9-A34693E29DAA}" name="Warehouse_Name"/>
    <tableColumn id="3" xr3:uid="{48AFB7E7-A084-44C5-BACF-E59F3CBB3586}" name="Region"/>
    <tableColumn id="4" xr3:uid="{DEFEBF9A-361F-41DE-8A89-F1093B3BCA76}" name="Max_Capacity_Units"/>
    <tableColumn id="5" xr3:uid="{34E445D5-0BC4-429A-8598-8CC664DA34BB}" name="Handling_Cost_Per_Unit" dataDxfId="8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F55A526-CDD3-4D89-BC98-895AFA64F229}" name="Table6" displayName="Table6" ref="A1:H1001" totalsRowShown="0">
  <autoFilter ref="A1:H1001" xr:uid="{6F55A526-CDD3-4D89-BC98-895AFA64F229}"/>
  <tableColumns count="8">
    <tableColumn id="1" xr3:uid="{01D8E8D1-05CC-4F2D-9E59-C9FDDB09B547}" name="Shipment_ID"/>
    <tableColumn id="2" xr3:uid="{58312231-24E0-43C8-8485-6EDDCB493E5F}" name="Order_Date" dataDxfId="85"/>
    <tableColumn id="3" xr3:uid="{6A5592DE-9F6A-4A7C-9292-670512FF0C49}" name="Warehouse_ID"/>
    <tableColumn id="4" xr3:uid="{450092F4-A60D-40EE-8059-90CA85043EE5}" name="Carrier_ID"/>
    <tableColumn id="5" xr3:uid="{49749540-A3B4-4C87-B8D4-F73A407739CF}" name="Promised_Ship_Date" dataDxfId="84"/>
    <tableColumn id="6" xr3:uid="{ABA75BEF-C422-4482-AD6F-11E613578B3E}" name="Actual_Ship_Date" dataDxfId="83"/>
    <tableColumn id="7" xr3:uid="{358A8F4A-80FB-4E2F-BB46-7D4DF4A9A57B}" name="Shipment_Weight_Lbs"/>
    <tableColumn id="8" xr3:uid="{A3CEF67D-C771-47B2-88B5-14637AF0FAFA}" name="Freight_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35B4F51-56C3-4090-B308-5D2B3CA91EBC}">
  <we:reference id="wa200009404" version="1.0.0.8" store="en-US" storeType="OMEX"/>
  <we:alternateReferences>
    <we:reference id="wa200009404" version="1.0.0.8" store="en-US" storeType="OMEX"/>
  </we:alternateReferences>
  <we:properties>
    <we:property name="claude.fileId" value="&quot;8e3021a3-9d76-4e83-8f95-f82fd6f5411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2.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B79A1-8696-4973-8A3D-15EE94C33E50}">
  <sheetPr>
    <tabColor theme="5" tint="-0.499984740745262"/>
    <pageSetUpPr fitToPage="1"/>
  </sheetPr>
  <dimension ref="A1:U156"/>
  <sheetViews>
    <sheetView showGridLines="0" showRowColHeaders="0" tabSelected="1" topLeftCell="A91" zoomScale="50" zoomScaleNormal="50" workbookViewId="0">
      <selection activeCell="B2" sqref="B2:U4"/>
    </sheetView>
  </sheetViews>
  <sheetFormatPr defaultRowHeight="14.5" x14ac:dyDescent="0.35"/>
  <cols>
    <col min="1" max="1" width="2.6328125" style="86" customWidth="1"/>
    <col min="2" max="2" width="14.54296875" style="86" customWidth="1"/>
    <col min="3" max="3" width="17.453125" style="86" customWidth="1"/>
    <col min="4" max="4" width="30.453125" style="86" customWidth="1"/>
    <col min="5" max="5" width="46" style="86" customWidth="1"/>
    <col min="6" max="6" width="16.90625" style="86" customWidth="1"/>
    <col min="7" max="7" width="13.54296875" style="86" customWidth="1"/>
    <col min="8" max="19" width="7.6328125" style="86" customWidth="1"/>
    <col min="20" max="16384" width="8.7265625" style="86"/>
  </cols>
  <sheetData>
    <row r="1" spans="2:21" ht="18" customHeight="1" x14ac:dyDescent="0.35"/>
    <row r="2" spans="2:21" ht="18" customHeight="1" x14ac:dyDescent="0.35">
      <c r="B2" s="87" t="s">
        <v>1113</v>
      </c>
      <c r="C2" s="87"/>
      <c r="D2" s="87"/>
      <c r="E2" s="87"/>
      <c r="F2" s="87"/>
      <c r="G2" s="87"/>
      <c r="H2" s="87"/>
      <c r="I2" s="87"/>
      <c r="J2" s="87"/>
      <c r="K2" s="87"/>
      <c r="L2" s="87"/>
      <c r="M2" s="87"/>
      <c r="N2" s="87"/>
      <c r="O2" s="87"/>
      <c r="P2" s="87"/>
      <c r="Q2" s="87"/>
      <c r="R2" s="87"/>
      <c r="S2" s="87"/>
      <c r="T2" s="87"/>
      <c r="U2" s="87"/>
    </row>
    <row r="3" spans="2:21" ht="18" customHeight="1" x14ac:dyDescent="0.35">
      <c r="B3" s="87"/>
      <c r="C3" s="87"/>
      <c r="D3" s="87"/>
      <c r="E3" s="87"/>
      <c r="F3" s="87"/>
      <c r="G3" s="87"/>
      <c r="H3" s="87"/>
      <c r="I3" s="87"/>
      <c r="J3" s="87"/>
      <c r="K3" s="87"/>
      <c r="L3" s="87"/>
      <c r="M3" s="87"/>
      <c r="N3" s="87"/>
      <c r="O3" s="87"/>
      <c r="P3" s="87"/>
      <c r="Q3" s="87"/>
      <c r="R3" s="87"/>
      <c r="S3" s="87"/>
      <c r="T3" s="87"/>
      <c r="U3" s="87"/>
    </row>
    <row r="4" spans="2:21" ht="18" customHeight="1" x14ac:dyDescent="0.35">
      <c r="B4" s="87"/>
      <c r="C4" s="87"/>
      <c r="D4" s="87"/>
      <c r="E4" s="87"/>
      <c r="F4" s="87"/>
      <c r="G4" s="87"/>
      <c r="H4" s="87"/>
      <c r="I4" s="87"/>
      <c r="J4" s="87"/>
      <c r="K4" s="87"/>
      <c r="L4" s="87"/>
      <c r="M4" s="87"/>
      <c r="N4" s="87"/>
      <c r="O4" s="87"/>
      <c r="P4" s="87"/>
      <c r="Q4" s="87"/>
      <c r="R4" s="87"/>
      <c r="S4" s="87"/>
      <c r="T4" s="87"/>
      <c r="U4" s="87"/>
    </row>
    <row r="5" spans="2:21" ht="18" customHeight="1" x14ac:dyDescent="0.35">
      <c r="B5" s="88" t="s">
        <v>1129</v>
      </c>
      <c r="C5" s="88"/>
      <c r="D5" s="88"/>
      <c r="E5" s="88"/>
      <c r="F5" s="88"/>
      <c r="G5" s="88"/>
      <c r="H5" s="88"/>
      <c r="I5" s="88"/>
      <c r="J5" s="88"/>
      <c r="K5" s="88"/>
      <c r="L5" s="88"/>
      <c r="M5" s="88"/>
      <c r="N5" s="88"/>
    </row>
    <row r="6" spans="2:21" ht="18" customHeight="1" thickBot="1" x14ac:dyDescent="0.4">
      <c r="B6" s="89"/>
      <c r="C6" s="89"/>
      <c r="D6" s="89"/>
      <c r="E6" s="89"/>
      <c r="F6" s="89"/>
      <c r="G6" s="89"/>
      <c r="H6" s="89"/>
      <c r="I6" s="89"/>
      <c r="J6" s="89"/>
      <c r="K6" s="89"/>
      <c r="L6" s="89"/>
      <c r="M6" s="89"/>
      <c r="N6" s="89"/>
      <c r="O6" s="89"/>
      <c r="P6" s="89"/>
      <c r="Q6" s="89"/>
      <c r="R6" s="89"/>
      <c r="S6" s="89"/>
      <c r="T6" s="89"/>
      <c r="U6" s="89"/>
    </row>
    <row r="7" spans="2:21" ht="18" customHeight="1" x14ac:dyDescent="0.35"/>
    <row r="8" spans="2:21" ht="18" customHeight="1" x14ac:dyDescent="0.9">
      <c r="B8" s="90">
        <f>Detail!B3</f>
        <v>0.83499999999999996</v>
      </c>
      <c r="C8" s="90"/>
      <c r="D8" s="90"/>
      <c r="E8" s="90"/>
      <c r="F8" s="91"/>
      <c r="G8" s="92"/>
      <c r="H8" s="92"/>
      <c r="I8" s="93"/>
      <c r="J8" s="94">
        <f>Detail!B5</f>
        <v>165</v>
      </c>
      <c r="K8" s="95"/>
      <c r="L8" s="95"/>
      <c r="M8" s="95"/>
      <c r="N8" s="91"/>
      <c r="O8" s="96">
        <f>Detail!B6</f>
        <v>218688.52</v>
      </c>
      <c r="P8" s="96"/>
      <c r="Q8" s="96"/>
      <c r="R8" s="96"/>
      <c r="S8" s="97"/>
      <c r="T8" s="98">
        <f>Scenario_Analysis!G5</f>
        <v>0.92600000000000005</v>
      </c>
      <c r="U8" s="98"/>
    </row>
    <row r="9" spans="2:21" ht="18" customHeight="1" x14ac:dyDescent="0.9">
      <c r="B9" s="90"/>
      <c r="C9" s="90"/>
      <c r="D9" s="90"/>
      <c r="E9" s="90"/>
      <c r="F9" s="91"/>
      <c r="G9" s="92"/>
      <c r="H9" s="92"/>
      <c r="I9" s="93"/>
      <c r="J9" s="95"/>
      <c r="K9" s="95"/>
      <c r="L9" s="95"/>
      <c r="M9" s="95"/>
      <c r="N9" s="91"/>
      <c r="O9" s="96"/>
      <c r="P9" s="96"/>
      <c r="Q9" s="96"/>
      <c r="R9" s="96"/>
      <c r="S9" s="97"/>
      <c r="T9" s="98"/>
      <c r="U9" s="98"/>
    </row>
    <row r="10" spans="2:21" ht="18" customHeight="1" x14ac:dyDescent="0.9">
      <c r="B10" s="90"/>
      <c r="C10" s="90"/>
      <c r="D10" s="90"/>
      <c r="E10" s="90"/>
      <c r="F10" s="91"/>
      <c r="G10" s="92"/>
      <c r="H10" s="92"/>
      <c r="I10" s="93"/>
      <c r="J10" s="95"/>
      <c r="K10" s="95"/>
      <c r="L10" s="95"/>
      <c r="M10" s="95"/>
      <c r="N10" s="91"/>
      <c r="O10" s="96"/>
      <c r="P10" s="96"/>
      <c r="Q10" s="96"/>
      <c r="R10" s="96"/>
      <c r="S10" s="97"/>
      <c r="T10" s="98"/>
      <c r="U10" s="98"/>
    </row>
    <row r="11" spans="2:21" ht="18" customHeight="1" x14ac:dyDescent="0.35">
      <c r="B11" s="119" t="s">
        <v>1109</v>
      </c>
      <c r="C11" s="119"/>
      <c r="D11" s="119"/>
      <c r="E11" s="119"/>
      <c r="F11" s="120" t="s">
        <v>1110</v>
      </c>
      <c r="G11" s="120"/>
      <c r="H11" s="121"/>
      <c r="I11" s="122"/>
      <c r="J11" s="119" t="s">
        <v>1111</v>
      </c>
      <c r="K11" s="119"/>
      <c r="L11" s="119"/>
      <c r="M11" s="123"/>
      <c r="N11" s="124"/>
      <c r="O11" s="119" t="s">
        <v>1112</v>
      </c>
      <c r="P11" s="119"/>
      <c r="Q11" s="119"/>
      <c r="R11" s="119"/>
      <c r="S11" s="125"/>
      <c r="T11" s="119" t="s">
        <v>1107</v>
      </c>
      <c r="U11" s="119"/>
    </row>
    <row r="12" spans="2:21" ht="18" customHeight="1" x14ac:dyDescent="0.35"/>
    <row r="13" spans="2:21" ht="18" customHeight="1" x14ac:dyDescent="0.35">
      <c r="B13" s="99"/>
      <c r="C13" s="99"/>
      <c r="D13" s="99"/>
      <c r="E13" s="99"/>
      <c r="F13" s="99"/>
      <c r="G13" s="99"/>
    </row>
    <row r="14" spans="2:21" ht="18" customHeight="1" x14ac:dyDescent="0.35">
      <c r="B14" s="99"/>
      <c r="C14" s="99"/>
      <c r="D14" s="99"/>
      <c r="E14" s="99"/>
      <c r="F14" s="99"/>
      <c r="G14" s="99"/>
    </row>
    <row r="15" spans="2:21" ht="18" customHeight="1" x14ac:dyDescent="0.35"/>
    <row r="16" spans="2:21" ht="18" customHeight="1" x14ac:dyDescent="0.35"/>
    <row r="17" spans="2:21" ht="18" customHeight="1" x14ac:dyDescent="0.35"/>
    <row r="18" spans="2:21" ht="32" customHeight="1" x14ac:dyDescent="0.35">
      <c r="B18" s="100" t="s">
        <v>1135</v>
      </c>
      <c r="C18" s="100"/>
      <c r="D18" s="100"/>
      <c r="E18" s="100"/>
      <c r="F18" s="100"/>
      <c r="G18" s="100"/>
      <c r="H18" s="100"/>
      <c r="I18" s="100"/>
      <c r="J18" s="100"/>
      <c r="K18" s="100"/>
      <c r="L18" s="100"/>
      <c r="M18" s="100"/>
      <c r="N18" s="100"/>
      <c r="O18" s="100"/>
      <c r="P18" s="100"/>
      <c r="Q18" s="100"/>
      <c r="R18" s="100"/>
      <c r="S18" s="100"/>
      <c r="T18" s="100"/>
      <c r="U18" s="100"/>
    </row>
    <row r="19" spans="2:21" ht="18" customHeight="1" x14ac:dyDescent="0.35">
      <c r="B19" s="101"/>
      <c r="C19" s="101"/>
      <c r="D19" s="101"/>
      <c r="E19" s="101"/>
      <c r="F19" s="101"/>
      <c r="G19" s="101"/>
      <c r="H19" s="101"/>
      <c r="I19" s="101"/>
      <c r="J19" s="101"/>
      <c r="K19" s="101"/>
      <c r="L19" s="101"/>
      <c r="M19" s="101"/>
      <c r="N19" s="101"/>
      <c r="O19" s="101"/>
      <c r="P19" s="101"/>
      <c r="Q19" s="101"/>
      <c r="R19" s="101"/>
      <c r="S19" s="101"/>
    </row>
    <row r="20" spans="2:21" ht="18" customHeight="1" x14ac:dyDescent="0.35"/>
    <row r="21" spans="2:21" ht="18" customHeight="1" x14ac:dyDescent="0.35"/>
    <row r="22" spans="2:21" ht="18" customHeight="1" x14ac:dyDescent="0.35"/>
    <row r="23" spans="2:21" ht="18" customHeight="1" x14ac:dyDescent="0.35"/>
    <row r="24" spans="2:21" ht="18" customHeight="1" x14ac:dyDescent="0.35"/>
    <row r="25" spans="2:21" ht="18" customHeight="1" x14ac:dyDescent="0.35"/>
    <row r="26" spans="2:21" ht="18" customHeight="1" x14ac:dyDescent="0.35"/>
    <row r="27" spans="2:21" ht="18" customHeight="1" x14ac:dyDescent="0.35"/>
    <row r="28" spans="2:21" ht="18" customHeight="1" x14ac:dyDescent="0.35"/>
    <row r="29" spans="2:21" ht="18" customHeight="1" x14ac:dyDescent="0.35"/>
    <row r="30" spans="2:21" ht="18" customHeight="1" x14ac:dyDescent="0.35"/>
    <row r="31" spans="2:21" ht="18" customHeight="1" x14ac:dyDescent="0.35"/>
    <row r="32" spans="2:21" ht="18" customHeight="1" x14ac:dyDescent="0.35"/>
    <row r="33" spans="2:21" ht="18" customHeight="1" x14ac:dyDescent="0.35"/>
    <row r="34" spans="2:21" ht="18" customHeight="1" x14ac:dyDescent="0.35"/>
    <row r="35" spans="2:21" ht="18" customHeight="1" x14ac:dyDescent="0.35"/>
    <row r="36" spans="2:21" ht="18" customHeight="1" x14ac:dyDescent="0.35"/>
    <row r="37" spans="2:21" ht="18" customHeight="1" x14ac:dyDescent="0.35"/>
    <row r="38" spans="2:21" ht="18" customHeight="1" x14ac:dyDescent="0.35"/>
    <row r="39" spans="2:21" ht="18" customHeight="1" x14ac:dyDescent="0.35"/>
    <row r="40" spans="2:21" ht="18" customHeight="1" x14ac:dyDescent="0.35"/>
    <row r="41" spans="2:21" ht="18" customHeight="1" x14ac:dyDescent="0.35"/>
    <row r="42" spans="2:21" ht="18" customHeight="1" x14ac:dyDescent="0.35"/>
    <row r="43" spans="2:21" ht="18" customHeight="1" x14ac:dyDescent="0.35"/>
    <row r="44" spans="2:21" ht="32" customHeight="1" x14ac:dyDescent="0.35">
      <c r="B44" s="100" t="s">
        <v>1130</v>
      </c>
      <c r="C44" s="100"/>
      <c r="D44" s="100"/>
      <c r="E44" s="100"/>
      <c r="F44" s="100"/>
      <c r="G44" s="100"/>
      <c r="H44" s="100"/>
      <c r="I44" s="100"/>
      <c r="J44" s="100"/>
      <c r="K44" s="100"/>
      <c r="L44" s="100"/>
      <c r="M44" s="100"/>
      <c r="N44" s="100"/>
      <c r="O44" s="100"/>
      <c r="P44" s="100"/>
      <c r="Q44" s="100"/>
      <c r="R44" s="100"/>
      <c r="S44" s="100"/>
      <c r="T44" s="100"/>
      <c r="U44" s="100"/>
    </row>
    <row r="45" spans="2:21" ht="18" customHeight="1" x14ac:dyDescent="0.35"/>
    <row r="46" spans="2:21" ht="18" customHeight="1" x14ac:dyDescent="0.35"/>
    <row r="47" spans="2:21" ht="18" customHeight="1" x14ac:dyDescent="0.35"/>
    <row r="48" spans="2:21"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spans="2:21" ht="18" customHeight="1" x14ac:dyDescent="0.35"/>
    <row r="66" spans="2:21" ht="18" customHeight="1" x14ac:dyDescent="0.35"/>
    <row r="67" spans="2:21" ht="18" customHeight="1" x14ac:dyDescent="0.35"/>
    <row r="68" spans="2:21" ht="18" customHeight="1" x14ac:dyDescent="0.35"/>
    <row r="69" spans="2:21" ht="18" customHeight="1" x14ac:dyDescent="0.35"/>
    <row r="70" spans="2:21" ht="32" customHeight="1" x14ac:dyDescent="0.35">
      <c r="B70" s="100" t="s">
        <v>1134</v>
      </c>
      <c r="C70" s="100"/>
      <c r="D70" s="100"/>
      <c r="E70" s="100"/>
      <c r="F70" s="100"/>
      <c r="G70" s="100"/>
      <c r="H70" s="100"/>
      <c r="I70" s="100"/>
      <c r="J70" s="100"/>
      <c r="K70" s="100"/>
      <c r="L70" s="100"/>
      <c r="M70" s="100"/>
      <c r="N70" s="100"/>
      <c r="O70" s="100"/>
      <c r="P70" s="100"/>
      <c r="Q70" s="100"/>
      <c r="R70" s="100"/>
      <c r="S70" s="100"/>
      <c r="T70" s="100"/>
      <c r="U70" s="100"/>
    </row>
    <row r="71" spans="2:21" ht="18" customHeight="1" x14ac:dyDescent="0.35"/>
    <row r="72" spans="2:21" ht="18" customHeight="1" x14ac:dyDescent="0.35"/>
    <row r="73" spans="2:21" ht="18" customHeight="1" x14ac:dyDescent="0.35"/>
    <row r="74" spans="2:21" ht="18" customHeight="1" x14ac:dyDescent="0.35"/>
    <row r="75" spans="2:21" ht="18" customHeight="1" x14ac:dyDescent="0.35"/>
    <row r="76" spans="2:21" ht="18" customHeight="1" x14ac:dyDescent="0.35"/>
    <row r="77" spans="2:21" ht="18" customHeight="1" x14ac:dyDescent="0.35"/>
    <row r="78" spans="2:21" ht="18" customHeight="1" x14ac:dyDescent="0.35"/>
    <row r="79" spans="2:21" ht="18" customHeight="1" x14ac:dyDescent="0.35"/>
    <row r="80" spans="2:21" ht="18" customHeight="1" x14ac:dyDescent="0.35"/>
    <row r="81" spans="2:21" ht="18" customHeight="1" x14ac:dyDescent="0.35"/>
    <row r="82" spans="2:21" ht="18" customHeight="1" x14ac:dyDescent="0.35"/>
    <row r="83" spans="2:21" ht="18" customHeight="1" x14ac:dyDescent="0.35"/>
    <row r="84" spans="2:21" ht="18" customHeight="1" x14ac:dyDescent="0.35"/>
    <row r="85" spans="2:21" ht="18" customHeight="1" x14ac:dyDescent="0.35"/>
    <row r="86" spans="2:21" ht="18" customHeight="1" x14ac:dyDescent="0.35"/>
    <row r="87" spans="2:21" ht="18" customHeight="1" x14ac:dyDescent="0.35"/>
    <row r="88" spans="2:21" ht="18" customHeight="1" x14ac:dyDescent="0.35"/>
    <row r="89" spans="2:21" ht="18" customHeight="1" x14ac:dyDescent="0.35"/>
    <row r="90" spans="2:21" ht="18" customHeight="1" x14ac:dyDescent="0.35"/>
    <row r="91" spans="2:21" ht="18" customHeight="1" x14ac:dyDescent="0.35"/>
    <row r="92" spans="2:21" ht="18" customHeight="1" x14ac:dyDescent="0.35"/>
    <row r="93" spans="2:21" ht="18" customHeight="1" x14ac:dyDescent="0.35"/>
    <row r="94" spans="2:21" ht="18" customHeight="1" x14ac:dyDescent="0.35"/>
    <row r="95" spans="2:21" ht="3" customHeight="1" x14ac:dyDescent="0.35"/>
    <row r="96" spans="2:21" ht="32" customHeight="1" x14ac:dyDescent="0.35">
      <c r="B96" s="100" t="s">
        <v>1152</v>
      </c>
      <c r="C96" s="100"/>
      <c r="D96" s="100"/>
      <c r="E96" s="100"/>
      <c r="F96" s="100"/>
      <c r="G96" s="100"/>
      <c r="H96" s="100"/>
      <c r="I96" s="100"/>
      <c r="J96" s="100"/>
      <c r="K96" s="100"/>
      <c r="L96" s="100"/>
      <c r="M96" s="100"/>
      <c r="N96" s="100"/>
      <c r="O96" s="100"/>
      <c r="P96" s="100"/>
      <c r="Q96" s="100"/>
      <c r="R96" s="100"/>
      <c r="S96" s="100"/>
      <c r="T96" s="100"/>
      <c r="U96" s="100"/>
    </row>
    <row r="97" spans="2:7" ht="24" customHeight="1" x14ac:dyDescent="0.35"/>
    <row r="98" spans="2:7" ht="8" customHeight="1" x14ac:dyDescent="0.35"/>
    <row r="99" spans="2:7" ht="34" customHeight="1" x14ac:dyDescent="0.35"/>
    <row r="100" spans="2:7" ht="8" customHeight="1" x14ac:dyDescent="0.35"/>
    <row r="101" spans="2:7" ht="16" customHeight="1" x14ac:dyDescent="0.35"/>
    <row r="102" spans="2:7" ht="24" customHeight="1" x14ac:dyDescent="0.35"/>
    <row r="103" spans="2:7" ht="26" customHeight="1" x14ac:dyDescent="0.35"/>
    <row r="104" spans="2:7" ht="30" customHeight="1" x14ac:dyDescent="0.35"/>
    <row r="105" spans="2:7" ht="21" customHeight="1" x14ac:dyDescent="0.55000000000000004">
      <c r="B105" s="107" t="s">
        <v>1147</v>
      </c>
      <c r="C105" s="107" t="s">
        <v>1153</v>
      </c>
      <c r="D105" s="107" t="s">
        <v>1145</v>
      </c>
      <c r="E105" s="107" t="s">
        <v>1154</v>
      </c>
      <c r="F105" s="108" t="s">
        <v>1146</v>
      </c>
      <c r="G105" s="107" t="s">
        <v>1171</v>
      </c>
    </row>
    <row r="106" spans="2:7" ht="109.5" customHeight="1" x14ac:dyDescent="0.35">
      <c r="B106" s="109" t="s">
        <v>1162</v>
      </c>
      <c r="C106" s="110" t="s">
        <v>1163</v>
      </c>
      <c r="D106" s="111" t="s">
        <v>1155</v>
      </c>
      <c r="E106" s="112" t="s">
        <v>1173</v>
      </c>
      <c r="F106" s="111" t="s">
        <v>1172</v>
      </c>
      <c r="G106" s="111" t="s">
        <v>1148</v>
      </c>
    </row>
    <row r="107" spans="2:7" ht="86" customHeight="1" x14ac:dyDescent="0.35">
      <c r="B107" s="113" t="s">
        <v>1162</v>
      </c>
      <c r="C107" s="114" t="s">
        <v>1164</v>
      </c>
      <c r="D107" s="115" t="s">
        <v>1156</v>
      </c>
      <c r="E107" s="116" t="s">
        <v>1174</v>
      </c>
      <c r="F107" s="115" t="s">
        <v>1170</v>
      </c>
      <c r="G107" s="115" t="s">
        <v>1148</v>
      </c>
    </row>
    <row r="108" spans="2:7" ht="70" customHeight="1" x14ac:dyDescent="0.35">
      <c r="B108" s="113" t="s">
        <v>1160</v>
      </c>
      <c r="C108" s="114" t="s">
        <v>1165</v>
      </c>
      <c r="D108" s="115" t="s">
        <v>1157</v>
      </c>
      <c r="E108" s="117" t="s">
        <v>1175</v>
      </c>
      <c r="F108" s="118" t="s">
        <v>1150</v>
      </c>
      <c r="G108" s="115" t="s">
        <v>1149</v>
      </c>
    </row>
    <row r="109" spans="2:7" ht="70" customHeight="1" x14ac:dyDescent="0.35">
      <c r="B109" s="113" t="s">
        <v>1160</v>
      </c>
      <c r="C109" s="114" t="s">
        <v>1166</v>
      </c>
      <c r="D109" s="115" t="s">
        <v>1158</v>
      </c>
      <c r="E109" s="116" t="s">
        <v>1176</v>
      </c>
      <c r="F109" s="115" t="s">
        <v>1169</v>
      </c>
      <c r="G109" s="115" t="s">
        <v>1149</v>
      </c>
    </row>
    <row r="110" spans="2:7" ht="70" customHeight="1" x14ac:dyDescent="0.35">
      <c r="B110" s="113" t="s">
        <v>1161</v>
      </c>
      <c r="C110" s="114" t="s">
        <v>1167</v>
      </c>
      <c r="D110" s="115" t="s">
        <v>1159</v>
      </c>
      <c r="E110" s="117" t="s">
        <v>1177</v>
      </c>
      <c r="F110" s="115" t="s">
        <v>1168</v>
      </c>
      <c r="G110" s="115" t="s">
        <v>1151</v>
      </c>
    </row>
    <row r="111" spans="2:7" ht="24" customHeight="1" x14ac:dyDescent="0.35"/>
    <row r="112" spans="2:7" ht="24" customHeight="1" x14ac:dyDescent="0.35"/>
    <row r="113" spans="1:21" ht="24" customHeight="1" x14ac:dyDescent="0.35"/>
    <row r="114" spans="1:21" ht="26" customHeight="1" x14ac:dyDescent="0.35"/>
    <row r="115" spans="1:21" ht="20" customHeight="1" x14ac:dyDescent="0.35"/>
    <row r="116" spans="1:21" ht="24" customHeight="1" x14ac:dyDescent="0.35"/>
    <row r="117" spans="1:21" ht="28" customHeight="1" x14ac:dyDescent="0.35"/>
    <row r="118" spans="1:21" ht="20" customHeight="1" x14ac:dyDescent="0.35"/>
    <row r="119" spans="1:21" ht="20" customHeight="1" x14ac:dyDescent="0.35"/>
    <row r="120" spans="1:21" ht="20" customHeight="1" x14ac:dyDescent="0.35"/>
    <row r="121" spans="1:21" ht="10" customHeight="1" x14ac:dyDescent="0.35"/>
    <row r="122" spans="1:21" ht="26" customHeight="1" x14ac:dyDescent="0.35"/>
    <row r="123" spans="1:21" ht="20" customHeight="1" x14ac:dyDescent="0.35"/>
    <row r="124" spans="1:21" ht="20" customHeight="1" x14ac:dyDescent="0.35"/>
    <row r="125" spans="1:21" ht="20" customHeight="1" x14ac:dyDescent="0.35"/>
    <row r="126" spans="1:21" ht="14" customHeight="1" x14ac:dyDescent="0.45">
      <c r="A126" s="103"/>
      <c r="R126" s="103"/>
      <c r="S126" s="103"/>
      <c r="T126" s="103"/>
      <c r="U126" s="103"/>
    </row>
    <row r="127" spans="1:21" ht="24" customHeight="1" x14ac:dyDescent="0.35"/>
    <row r="128" spans="1:21" ht="40" customHeight="1" x14ac:dyDescent="0.35"/>
    <row r="129" spans="1:21" ht="16" customHeight="1" x14ac:dyDescent="0.35"/>
    <row r="130" spans="1:21" ht="26" customHeight="1" x14ac:dyDescent="0.45">
      <c r="A130" s="103"/>
      <c r="R130" s="103"/>
      <c r="S130" s="103"/>
      <c r="T130" s="103"/>
      <c r="U130" s="103"/>
    </row>
    <row r="131" spans="1:21" ht="22" customHeight="1" x14ac:dyDescent="0.45">
      <c r="A131" s="103"/>
      <c r="R131" s="103"/>
      <c r="S131" s="103"/>
      <c r="T131" s="103"/>
      <c r="U131" s="103"/>
    </row>
    <row r="132" spans="1:21" ht="62" customHeight="1" x14ac:dyDescent="0.45">
      <c r="A132" s="103"/>
      <c r="R132" s="103"/>
      <c r="S132" s="103"/>
      <c r="T132" s="103"/>
      <c r="U132" s="103"/>
    </row>
    <row r="133" spans="1:21" ht="62" customHeight="1" x14ac:dyDescent="0.45">
      <c r="A133" s="103"/>
      <c r="R133" s="103"/>
      <c r="S133" s="103"/>
      <c r="T133" s="103"/>
      <c r="U133" s="103"/>
    </row>
    <row r="134" spans="1:21" ht="62" customHeight="1" x14ac:dyDescent="0.45">
      <c r="A134" s="103"/>
      <c r="R134" s="103"/>
      <c r="S134" s="103"/>
      <c r="T134" s="103"/>
      <c r="U134" s="103"/>
    </row>
    <row r="135" spans="1:21" ht="62" customHeight="1" x14ac:dyDescent="0.45">
      <c r="A135" s="103"/>
      <c r="R135" s="103"/>
      <c r="S135" s="103"/>
      <c r="T135" s="103"/>
      <c r="U135" s="103"/>
    </row>
    <row r="136" spans="1:21" ht="62" customHeight="1" x14ac:dyDescent="0.45">
      <c r="A136" s="103"/>
      <c r="R136" s="103"/>
      <c r="S136" s="103"/>
      <c r="T136" s="103"/>
      <c r="U136" s="103"/>
    </row>
    <row r="137" spans="1:21" ht="62" customHeight="1" x14ac:dyDescent="0.45">
      <c r="A137" s="103"/>
      <c r="R137" s="103"/>
      <c r="S137" s="103"/>
      <c r="T137" s="103"/>
      <c r="U137" s="103"/>
    </row>
    <row r="138" spans="1:21" ht="62" customHeight="1" x14ac:dyDescent="0.45">
      <c r="A138" s="103"/>
      <c r="R138" s="103"/>
      <c r="S138" s="103"/>
      <c r="T138" s="103"/>
      <c r="U138" s="103"/>
    </row>
    <row r="139" spans="1:21" ht="62" customHeight="1" x14ac:dyDescent="0.45">
      <c r="A139" s="103"/>
      <c r="R139" s="103"/>
      <c r="S139" s="103"/>
      <c r="T139" s="103"/>
      <c r="U139" s="103"/>
    </row>
    <row r="140" spans="1:21" ht="62" customHeight="1" x14ac:dyDescent="0.45">
      <c r="A140" s="103"/>
      <c r="R140" s="103"/>
      <c r="S140" s="103"/>
      <c r="T140" s="103"/>
      <c r="U140" s="103"/>
    </row>
    <row r="141" spans="1:21" ht="14" customHeight="1" x14ac:dyDescent="0.45">
      <c r="A141" s="103"/>
      <c r="R141" s="103"/>
      <c r="S141" s="103"/>
      <c r="T141" s="103"/>
      <c r="U141" s="103"/>
    </row>
    <row r="142" spans="1:21" ht="26" customHeight="1" x14ac:dyDescent="0.45">
      <c r="A142" s="103"/>
      <c r="R142" s="103"/>
      <c r="S142" s="103"/>
      <c r="T142" s="103"/>
      <c r="U142" s="103"/>
    </row>
    <row r="143" spans="1:21" ht="22" customHeight="1" x14ac:dyDescent="0.45">
      <c r="A143" s="103"/>
      <c r="R143" s="103"/>
      <c r="S143" s="103"/>
      <c r="T143" s="103"/>
      <c r="U143" s="103"/>
    </row>
    <row r="144" spans="1:21" ht="62" customHeight="1" x14ac:dyDescent="0.45">
      <c r="A144" s="103"/>
      <c r="R144" s="103"/>
      <c r="S144" s="103"/>
      <c r="T144" s="103"/>
      <c r="U144" s="103"/>
    </row>
    <row r="145" spans="1:21" ht="62" customHeight="1" x14ac:dyDescent="0.45">
      <c r="A145" s="103"/>
      <c r="R145" s="103"/>
      <c r="S145" s="103"/>
      <c r="T145" s="103"/>
      <c r="U145" s="103"/>
    </row>
    <row r="146" spans="1:21" ht="62" customHeight="1" x14ac:dyDescent="0.45">
      <c r="A146" s="103"/>
      <c r="R146" s="103"/>
      <c r="S146" s="103"/>
      <c r="T146" s="103"/>
      <c r="U146" s="103"/>
    </row>
    <row r="147" spans="1:21" ht="62" customHeight="1" x14ac:dyDescent="0.45">
      <c r="A147" s="103"/>
      <c r="R147" s="103"/>
      <c r="S147" s="103"/>
      <c r="T147" s="103"/>
      <c r="U147" s="103"/>
    </row>
    <row r="148" spans="1:21" ht="62" customHeight="1" x14ac:dyDescent="0.45">
      <c r="A148" s="103"/>
      <c r="R148" s="103"/>
      <c r="S148" s="103"/>
      <c r="T148" s="103"/>
      <c r="U148" s="103"/>
    </row>
    <row r="149" spans="1:21" ht="62" customHeight="1" x14ac:dyDescent="0.45">
      <c r="A149" s="103"/>
      <c r="R149" s="103"/>
      <c r="S149" s="103"/>
      <c r="T149" s="103"/>
      <c r="U149" s="103"/>
    </row>
    <row r="150" spans="1:21" ht="62" customHeight="1" x14ac:dyDescent="0.45">
      <c r="A150" s="103"/>
      <c r="R150" s="103"/>
      <c r="S150" s="103"/>
      <c r="T150" s="103"/>
      <c r="U150" s="103"/>
    </row>
    <row r="151" spans="1:21" ht="62" customHeight="1" x14ac:dyDescent="0.45">
      <c r="A151" s="103"/>
      <c r="F151" s="103"/>
      <c r="G151" s="103"/>
      <c r="H151" s="103"/>
      <c r="I151" s="103"/>
      <c r="R151" s="103"/>
      <c r="S151" s="103"/>
      <c r="T151" s="103"/>
      <c r="U151" s="103"/>
    </row>
    <row r="152" spans="1:21" ht="62" customHeight="1" x14ac:dyDescent="0.45">
      <c r="A152" s="103"/>
      <c r="R152" s="103"/>
      <c r="S152" s="103"/>
      <c r="T152" s="103"/>
      <c r="U152" s="103"/>
    </row>
    <row r="153" spans="1:21" ht="10" customHeight="1" x14ac:dyDescent="0.45">
      <c r="A153" s="103"/>
      <c r="R153" s="103"/>
      <c r="S153" s="103"/>
      <c r="T153" s="103"/>
      <c r="U153" s="103"/>
    </row>
    <row r="154" spans="1:21" ht="30" customHeight="1" x14ac:dyDescent="0.45">
      <c r="A154" s="103"/>
      <c r="R154" s="103"/>
      <c r="S154" s="103"/>
      <c r="T154" s="103"/>
      <c r="U154" s="103"/>
    </row>
    <row r="155" spans="1:21" ht="16" x14ac:dyDescent="0.45">
      <c r="A155" s="103"/>
      <c r="B155" s="103"/>
      <c r="C155" s="103"/>
      <c r="D155" s="103"/>
      <c r="E155" s="103"/>
      <c r="F155" s="103"/>
      <c r="G155" s="103"/>
      <c r="H155" s="103"/>
      <c r="I155" s="103"/>
      <c r="J155" s="103"/>
      <c r="K155" s="103"/>
      <c r="L155" s="103"/>
      <c r="M155" s="103"/>
      <c r="N155" s="103"/>
      <c r="O155" s="103"/>
      <c r="P155" s="103"/>
      <c r="Q155" s="103"/>
      <c r="R155" s="103"/>
      <c r="S155" s="103"/>
      <c r="T155" s="103"/>
      <c r="U155" s="103"/>
    </row>
    <row r="156" spans="1:21" ht="16" x14ac:dyDescent="0.45">
      <c r="A156" s="103"/>
      <c r="B156" s="103"/>
      <c r="C156" s="103"/>
      <c r="D156" s="103"/>
      <c r="E156" s="103"/>
      <c r="F156" s="103"/>
      <c r="G156" s="103"/>
      <c r="H156" s="103"/>
      <c r="I156" s="103"/>
      <c r="J156" s="103"/>
      <c r="K156" s="103"/>
      <c r="L156" s="103"/>
      <c r="M156" s="103"/>
      <c r="N156" s="103"/>
      <c r="O156" s="103"/>
      <c r="P156" s="103"/>
      <c r="Q156" s="103"/>
      <c r="R156" s="103"/>
      <c r="S156" s="103"/>
      <c r="T156" s="103"/>
      <c r="U156" s="103"/>
    </row>
  </sheetData>
  <mergeCells count="17">
    <mergeCell ref="F11:G11"/>
    <mergeCell ref="J11:L11"/>
    <mergeCell ref="B70:U70"/>
    <mergeCell ref="B96:U96"/>
    <mergeCell ref="B5:N5"/>
    <mergeCell ref="B8:E10"/>
    <mergeCell ref="G8:H10"/>
    <mergeCell ref="J8:M10"/>
    <mergeCell ref="B2:U4"/>
    <mergeCell ref="T8:U10"/>
    <mergeCell ref="B44:U44"/>
    <mergeCell ref="B13:G14"/>
    <mergeCell ref="B18:U18"/>
    <mergeCell ref="T11:U11"/>
    <mergeCell ref="O8:R10"/>
    <mergeCell ref="B11:E11"/>
    <mergeCell ref="O11:R11"/>
  </mergeCells>
  <phoneticPr fontId="3" type="noConversion"/>
  <conditionalFormatting sqref="J109:J113">
    <cfRule type="containsText" dxfId="18" priority="7" operator="containsText" text="High">
      <formula>NOT(ISERROR(SEARCH("High",J109)))</formula>
    </cfRule>
  </conditionalFormatting>
  <conditionalFormatting sqref="J109:J113">
    <cfRule type="containsText" dxfId="17" priority="8" operator="containsText" text="Medium">
      <formula>NOT(ISERROR(SEARCH("Medium",J109)))</formula>
    </cfRule>
  </conditionalFormatting>
  <conditionalFormatting sqref="J109:J113">
    <cfRule type="containsText" dxfId="16" priority="9" operator="containsText" text="Low">
      <formula>NOT(ISERROR(SEARCH("Low",J109)))</formula>
    </cfRule>
  </conditionalFormatting>
  <conditionalFormatting sqref="B106:B110">
    <cfRule type="containsText" dxfId="9" priority="1" operator="containsText" text="Ongoing">
      <formula>NOT(ISERROR(SEARCH("Ongoing",B106)))</formula>
    </cfRule>
    <cfRule type="containsText" dxfId="8" priority="2" operator="containsText" text="Medium">
      <formula>NOT(ISERROR(SEARCH("Medium",B106)))</formula>
    </cfRule>
    <cfRule type="containsText" dxfId="7" priority="3" operator="containsText" text="High">
      <formula>NOT(ISERROR(SEARCH("High",B106)))</formula>
    </cfRule>
  </conditionalFormatting>
  <pageMargins left="0.7" right="0.7" top="0.75" bottom="0.75" header="0.3" footer="0.3"/>
  <pageSetup paperSize="9" scale="30" orientation="portrait" r:id="rId1"/>
  <drawing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EFD65-CECE-4AB0-924C-CA90B86CBF63}">
  <sheetPr>
    <tabColor theme="5" tint="-0.249977111117893"/>
  </sheetPr>
  <dimension ref="A1:AC677"/>
  <sheetViews>
    <sheetView zoomScaleNormal="100" workbookViewId="0">
      <selection activeCell="N8" sqref="N8"/>
    </sheetView>
  </sheetViews>
  <sheetFormatPr defaultRowHeight="16.5" x14ac:dyDescent="0.45"/>
  <cols>
    <col min="1" max="1" width="24.54296875" style="30" bestFit="1" customWidth="1"/>
    <col min="2" max="2" width="8.90625" style="30" bestFit="1" customWidth="1"/>
    <col min="3" max="3" width="15.6328125" style="30" bestFit="1" customWidth="1"/>
    <col min="4" max="4" width="8.7265625" style="48" bestFit="1" customWidth="1"/>
    <col min="5" max="5" width="21" style="30" bestFit="1" customWidth="1"/>
    <col min="6" max="6" width="16.36328125" style="30" bestFit="1" customWidth="1"/>
    <col min="7" max="7" width="14.453125" style="35" customWidth="1"/>
    <col min="8" max="8" width="14.453125" style="30" customWidth="1"/>
    <col min="9" max="9" width="17" style="30" bestFit="1" customWidth="1"/>
    <col min="10" max="10" width="16.36328125" style="30" bestFit="1" customWidth="1"/>
    <col min="11" max="11" width="24.54296875" style="30" bestFit="1" customWidth="1"/>
    <col min="12" max="12" width="21" style="30" bestFit="1" customWidth="1"/>
    <col min="13" max="13" width="21.36328125" style="30" bestFit="1" customWidth="1"/>
    <col min="14" max="14" width="19.1796875" style="36" bestFit="1" customWidth="1"/>
    <col min="15" max="15" width="19.36328125" style="30" bestFit="1" customWidth="1"/>
    <col min="16" max="16" width="26.26953125" style="30" customWidth="1"/>
    <col min="17" max="17" width="12.453125" style="30" bestFit="1" customWidth="1"/>
    <col min="18" max="18" width="9.1796875" style="30" bestFit="1" customWidth="1"/>
    <col min="19" max="19" width="11.453125" style="30" bestFit="1" customWidth="1"/>
    <col min="20" max="20" width="12.26953125" style="30" customWidth="1"/>
    <col min="21" max="21" width="18.36328125" style="30" bestFit="1" customWidth="1"/>
    <col min="22" max="22" width="12.1796875" style="30" bestFit="1" customWidth="1"/>
    <col min="23" max="23" width="16.36328125" style="30" bestFit="1" customWidth="1"/>
    <col min="24" max="24" width="18" style="30" bestFit="1" customWidth="1"/>
    <col min="25" max="25" width="19.1796875" style="36" bestFit="1" customWidth="1"/>
    <col min="26" max="26" width="21" style="30" bestFit="1" customWidth="1"/>
    <col min="27" max="27" width="8.7265625" style="30"/>
    <col min="28" max="28" width="2.7265625" style="30" bestFit="1" customWidth="1"/>
    <col min="29" max="29" width="16.36328125" style="30" bestFit="1" customWidth="1"/>
    <col min="30" max="16384" width="8.7265625" style="30"/>
  </cols>
  <sheetData>
    <row r="1" spans="1:29" x14ac:dyDescent="0.45">
      <c r="A1" s="53" t="s">
        <v>1071</v>
      </c>
      <c r="B1" s="53"/>
      <c r="D1" s="53" t="s">
        <v>1072</v>
      </c>
      <c r="E1" s="53"/>
      <c r="F1" s="53"/>
      <c r="G1" s="53"/>
      <c r="I1" s="53" t="s">
        <v>1073</v>
      </c>
      <c r="J1" s="53"/>
      <c r="K1" s="53"/>
      <c r="L1" s="53"/>
      <c r="M1" s="53"/>
      <c r="N1" s="53"/>
      <c r="P1" s="53" t="s">
        <v>1074</v>
      </c>
      <c r="Q1" s="53"/>
      <c r="R1" s="53"/>
      <c r="S1" s="53"/>
      <c r="T1" s="53"/>
      <c r="V1" s="53" t="s">
        <v>1075</v>
      </c>
      <c r="W1" s="53"/>
      <c r="X1" s="53"/>
      <c r="Y1" s="53"/>
      <c r="Z1" s="53"/>
      <c r="AB1" s="53" t="s">
        <v>1076</v>
      </c>
      <c r="AC1" s="53"/>
    </row>
    <row r="2" spans="1:29" x14ac:dyDescent="0.45">
      <c r="A2" s="31"/>
      <c r="D2" s="34"/>
      <c r="I2" s="31"/>
    </row>
    <row r="3" spans="1:29" x14ac:dyDescent="0.45">
      <c r="A3" s="37" t="s">
        <v>1061</v>
      </c>
      <c r="B3" s="52">
        <v>0.83499999999999996</v>
      </c>
      <c r="D3" s="49" t="s">
        <v>1117</v>
      </c>
      <c r="E3" s="30" t="s">
        <v>1061</v>
      </c>
      <c r="F3" s="30" t="s">
        <v>1058</v>
      </c>
      <c r="G3" s="40" t="s">
        <v>1080</v>
      </c>
      <c r="I3" s="71"/>
      <c r="J3" s="71" t="s">
        <v>1058</v>
      </c>
      <c r="K3" s="71" t="s">
        <v>1060</v>
      </c>
      <c r="L3" s="71" t="s">
        <v>1061</v>
      </c>
      <c r="M3" s="71" t="s">
        <v>1064</v>
      </c>
      <c r="N3" s="75" t="s">
        <v>1068</v>
      </c>
      <c r="O3" s="31"/>
      <c r="P3" s="39" t="s">
        <v>1058</v>
      </c>
      <c r="V3" s="71"/>
      <c r="W3" s="71" t="s">
        <v>1058</v>
      </c>
      <c r="X3" s="71" t="s">
        <v>1066</v>
      </c>
      <c r="Y3" s="75" t="s">
        <v>1068</v>
      </c>
      <c r="Z3" s="71" t="s">
        <v>1061</v>
      </c>
      <c r="AB3" s="37"/>
      <c r="AC3" s="37" t="s">
        <v>1058</v>
      </c>
    </row>
    <row r="4" spans="1:29" x14ac:dyDescent="0.45">
      <c r="A4" s="37" t="s">
        <v>1062</v>
      </c>
      <c r="B4" s="38">
        <v>-6.5000000000000058E-2</v>
      </c>
      <c r="D4" s="50" t="s">
        <v>1078</v>
      </c>
      <c r="E4" s="104"/>
      <c r="F4" s="104"/>
      <c r="G4" s="43">
        <v>0.9</v>
      </c>
      <c r="H4" s="42"/>
      <c r="I4" s="71" t="s">
        <v>7</v>
      </c>
      <c r="J4" s="73">
        <v>193</v>
      </c>
      <c r="K4" s="73">
        <v>32</v>
      </c>
      <c r="L4" s="76">
        <v>0.83419689119170981</v>
      </c>
      <c r="M4" s="77">
        <v>1.8125</v>
      </c>
      <c r="N4" s="75">
        <v>0.17283059001670426</v>
      </c>
      <c r="Q4" s="71" t="s">
        <v>1042</v>
      </c>
      <c r="R4" s="71" t="s">
        <v>1041</v>
      </c>
      <c r="S4" s="71" t="s">
        <v>1043</v>
      </c>
      <c r="T4" s="71" t="s">
        <v>1077</v>
      </c>
      <c r="V4" s="71" t="s">
        <v>27</v>
      </c>
      <c r="W4" s="73">
        <v>177</v>
      </c>
      <c r="X4" s="78">
        <v>40539.06</v>
      </c>
      <c r="Y4" s="75">
        <v>0.17039876926698247</v>
      </c>
      <c r="Z4" s="76">
        <v>0.80790960451977401</v>
      </c>
      <c r="AB4" s="37">
        <v>-1</v>
      </c>
      <c r="AC4" s="74">
        <v>0.26800000000000002</v>
      </c>
    </row>
    <row r="5" spans="1:29" x14ac:dyDescent="0.45">
      <c r="A5" s="37" t="s">
        <v>1060</v>
      </c>
      <c r="B5" s="45">
        <v>165</v>
      </c>
      <c r="D5" s="51" t="s">
        <v>1089</v>
      </c>
      <c r="E5" s="41">
        <v>0.84810126582278478</v>
      </c>
      <c r="F5" s="42">
        <v>79</v>
      </c>
      <c r="G5" s="43">
        <v>0.9</v>
      </c>
      <c r="H5" s="42"/>
      <c r="I5" s="71" t="s">
        <v>9</v>
      </c>
      <c r="J5" s="73">
        <v>210</v>
      </c>
      <c r="K5" s="73">
        <v>34</v>
      </c>
      <c r="L5" s="76">
        <v>0.83809523809523812</v>
      </c>
      <c r="M5" s="77">
        <v>1.5</v>
      </c>
      <c r="N5" s="75">
        <v>0.16747269256601505</v>
      </c>
      <c r="P5" s="72" t="s">
        <v>23</v>
      </c>
      <c r="Q5" s="72">
        <v>9.036144578313253E-2</v>
      </c>
      <c r="R5" s="72">
        <v>0.81325301204819278</v>
      </c>
      <c r="S5" s="72">
        <v>9.6385542168674704E-2</v>
      </c>
      <c r="T5" s="72">
        <v>1</v>
      </c>
      <c r="V5" s="71" t="s">
        <v>21</v>
      </c>
      <c r="W5" s="73">
        <v>171</v>
      </c>
      <c r="X5" s="78">
        <v>38701.31</v>
      </c>
      <c r="Y5" s="75">
        <v>0.17182864779427434</v>
      </c>
      <c r="Z5" s="76">
        <v>0.85964912280701755</v>
      </c>
      <c r="AB5" s="37">
        <v>0</v>
      </c>
      <c r="AC5" s="74">
        <v>0.56699999999999995</v>
      </c>
    </row>
    <row r="6" spans="1:29" x14ac:dyDescent="0.45">
      <c r="A6" s="37" t="s">
        <v>1066</v>
      </c>
      <c r="B6" s="46">
        <v>218688.52</v>
      </c>
      <c r="D6" s="51" t="s">
        <v>1090</v>
      </c>
      <c r="E6" s="41">
        <v>0.79569892473118276</v>
      </c>
      <c r="F6" s="42">
        <v>93</v>
      </c>
      <c r="G6" s="43">
        <v>0.9</v>
      </c>
      <c r="H6" s="42"/>
      <c r="I6" s="71" t="s">
        <v>11</v>
      </c>
      <c r="J6" s="73">
        <v>192</v>
      </c>
      <c r="K6" s="73">
        <v>37</v>
      </c>
      <c r="L6" s="76">
        <v>0.80729166666666663</v>
      </c>
      <c r="M6" s="77">
        <v>1.7567567567567568</v>
      </c>
      <c r="N6" s="75">
        <v>0.16554490489323015</v>
      </c>
      <c r="P6" s="72" t="s">
        <v>26</v>
      </c>
      <c r="Q6" s="72">
        <v>9.6045197740112997E-2</v>
      </c>
      <c r="R6" s="72">
        <v>0.80790960451977401</v>
      </c>
      <c r="S6" s="72">
        <v>9.6045197740112997E-2</v>
      </c>
      <c r="T6" s="72">
        <v>1</v>
      </c>
      <c r="V6" s="71" t="s">
        <v>24</v>
      </c>
      <c r="W6" s="73">
        <v>330</v>
      </c>
      <c r="X6" s="78">
        <v>69709.440000000002</v>
      </c>
      <c r="Y6" s="75">
        <v>0.17278291539740886</v>
      </c>
      <c r="Z6" s="76">
        <v>0.82727272727272727</v>
      </c>
      <c r="AB6" s="37">
        <v>1</v>
      </c>
      <c r="AC6" s="74">
        <v>9.0999999999999998E-2</v>
      </c>
    </row>
    <row r="7" spans="1:29" x14ac:dyDescent="0.45">
      <c r="A7" s="37" t="s">
        <v>1064</v>
      </c>
      <c r="B7" s="47">
        <v>1.7454545454545454</v>
      </c>
      <c r="D7" s="51" t="s">
        <v>1091</v>
      </c>
      <c r="E7" s="41">
        <v>0.80263157894736847</v>
      </c>
      <c r="F7" s="42">
        <v>76</v>
      </c>
      <c r="G7" s="43">
        <v>0.9</v>
      </c>
      <c r="H7" s="42"/>
      <c r="I7" s="71" t="s">
        <v>5</v>
      </c>
      <c r="J7" s="73">
        <v>198</v>
      </c>
      <c r="K7" s="73">
        <v>29</v>
      </c>
      <c r="L7" s="76">
        <v>0.85353535353535348</v>
      </c>
      <c r="M7" s="77">
        <v>1.9310344827586208</v>
      </c>
      <c r="N7" s="75">
        <v>0.17869346011621762</v>
      </c>
      <c r="P7" s="72" t="s">
        <v>32</v>
      </c>
      <c r="Q7" s="72">
        <v>7.926829268292683E-2</v>
      </c>
      <c r="R7" s="72">
        <v>0.84146341463414631</v>
      </c>
      <c r="S7" s="72">
        <v>7.926829268292683E-2</v>
      </c>
      <c r="T7" s="72">
        <v>1</v>
      </c>
      <c r="V7" s="71" t="s">
        <v>30</v>
      </c>
      <c r="W7" s="73">
        <v>322</v>
      </c>
      <c r="X7" s="78">
        <v>69738.710000000006</v>
      </c>
      <c r="Y7" s="75">
        <v>0.17159904528733655</v>
      </c>
      <c r="Z7" s="76">
        <v>0.84472049689440998</v>
      </c>
      <c r="AB7" s="37">
        <v>2</v>
      </c>
      <c r="AC7" s="74">
        <v>4.1000000000000002E-2</v>
      </c>
    </row>
    <row r="8" spans="1:29" x14ac:dyDescent="0.45">
      <c r="A8" s="37" t="s">
        <v>1070</v>
      </c>
      <c r="B8" s="46">
        <v>21600</v>
      </c>
      <c r="D8" s="51" t="s">
        <v>1092</v>
      </c>
      <c r="E8" s="41">
        <v>0.76923076923076927</v>
      </c>
      <c r="F8" s="42">
        <v>65</v>
      </c>
      <c r="G8" s="43">
        <v>0.9</v>
      </c>
      <c r="H8" s="42"/>
      <c r="I8" s="71" t="s">
        <v>13</v>
      </c>
      <c r="J8" s="73">
        <v>207</v>
      </c>
      <c r="K8" s="73">
        <v>33</v>
      </c>
      <c r="L8" s="76">
        <v>0.84057971014492749</v>
      </c>
      <c r="M8" s="77">
        <v>1.7575757575757576</v>
      </c>
      <c r="N8" s="75">
        <v>0.17517971273986999</v>
      </c>
      <c r="P8" s="72" t="s">
        <v>20</v>
      </c>
      <c r="Q8" s="72">
        <v>6.4327485380116955E-2</v>
      </c>
      <c r="R8" s="72">
        <v>0.85964912280701755</v>
      </c>
      <c r="S8" s="72">
        <v>7.6023391812865493E-2</v>
      </c>
      <c r="T8" s="72">
        <v>1</v>
      </c>
      <c r="V8" s="71" t="s">
        <v>1077</v>
      </c>
      <c r="W8" s="73">
        <v>1000</v>
      </c>
      <c r="X8" s="78">
        <v>218688.52</v>
      </c>
      <c r="Y8" s="75">
        <v>0.17179055691499182</v>
      </c>
      <c r="Z8" s="76">
        <v>0.83499999999999996</v>
      </c>
      <c r="AB8" s="37">
        <v>3</v>
      </c>
      <c r="AC8" s="74">
        <v>1.7000000000000001E-2</v>
      </c>
    </row>
    <row r="9" spans="1:29" x14ac:dyDescent="0.45">
      <c r="D9" s="51" t="s">
        <v>1093</v>
      </c>
      <c r="E9" s="41">
        <v>0.8783783783783784</v>
      </c>
      <c r="F9" s="42">
        <v>74</v>
      </c>
      <c r="G9" s="43">
        <v>0.9</v>
      </c>
      <c r="H9" s="42"/>
      <c r="I9" s="71" t="s">
        <v>1077</v>
      </c>
      <c r="J9" s="73">
        <v>1000</v>
      </c>
      <c r="K9" s="73">
        <v>165</v>
      </c>
      <c r="L9" s="76">
        <v>0.83499999999999996</v>
      </c>
      <c r="M9" s="77">
        <v>1.7454545454545454</v>
      </c>
      <c r="N9" s="75">
        <v>0.17179055691499182</v>
      </c>
      <c r="P9" s="72" t="s">
        <v>29</v>
      </c>
      <c r="Q9" s="72">
        <v>6.0402684563758392E-2</v>
      </c>
      <c r="R9" s="72">
        <v>0.85906040268456374</v>
      </c>
      <c r="S9" s="72">
        <v>8.0536912751677847E-2</v>
      </c>
      <c r="T9" s="72">
        <v>1</v>
      </c>
      <c r="AB9" s="37">
        <v>4</v>
      </c>
      <c r="AC9" s="74">
        <v>1.6E-2</v>
      </c>
    </row>
    <row r="10" spans="1:29" x14ac:dyDescent="0.45">
      <c r="D10" s="50" t="s">
        <v>1079</v>
      </c>
      <c r="E10" s="104"/>
      <c r="F10" s="104"/>
      <c r="G10" s="43">
        <v>0.9</v>
      </c>
      <c r="H10" s="42"/>
      <c r="P10" s="72" t="s">
        <v>34</v>
      </c>
      <c r="Q10" s="72">
        <v>5.2023121387283239E-2</v>
      </c>
      <c r="R10" s="72">
        <v>0.83236994219653182</v>
      </c>
      <c r="S10" s="72">
        <v>0.11560693641618497</v>
      </c>
      <c r="T10" s="72">
        <v>1</v>
      </c>
      <c r="AB10"/>
      <c r="AC10"/>
    </row>
    <row r="11" spans="1:29" x14ac:dyDescent="0.45">
      <c r="D11" s="51" t="s">
        <v>1095</v>
      </c>
      <c r="E11" s="41">
        <v>0.84946236559139787</v>
      </c>
      <c r="F11" s="42">
        <v>93</v>
      </c>
      <c r="G11" s="43">
        <v>0.9</v>
      </c>
      <c r="H11" s="42"/>
      <c r="P11" s="72" t="s">
        <v>1077</v>
      </c>
      <c r="Q11" s="72">
        <v>7.3999999999999996E-2</v>
      </c>
      <c r="R11" s="72">
        <v>0.83499999999999996</v>
      </c>
      <c r="S11" s="72">
        <v>9.0999999999999998E-2</v>
      </c>
      <c r="T11" s="72">
        <v>1</v>
      </c>
    </row>
    <row r="12" spans="1:29" x14ac:dyDescent="0.45">
      <c r="D12" s="51" t="s">
        <v>1096</v>
      </c>
      <c r="E12" s="41">
        <v>0.81481481481481477</v>
      </c>
      <c r="F12" s="42">
        <v>81</v>
      </c>
      <c r="G12" s="43">
        <v>0.9</v>
      </c>
      <c r="H12" s="42"/>
    </row>
    <row r="13" spans="1:29" x14ac:dyDescent="0.45">
      <c r="D13" s="51" t="s">
        <v>1097</v>
      </c>
      <c r="E13" s="41">
        <v>0.81395348837209303</v>
      </c>
      <c r="F13" s="42">
        <v>86</v>
      </c>
      <c r="G13" s="43">
        <v>0.9</v>
      </c>
      <c r="H13" s="42"/>
    </row>
    <row r="14" spans="1:29" x14ac:dyDescent="0.45">
      <c r="D14" s="51" t="s">
        <v>1098</v>
      </c>
      <c r="E14" s="41">
        <v>0.79569892473118276</v>
      </c>
      <c r="F14" s="42">
        <v>93</v>
      </c>
      <c r="G14" s="43">
        <v>0.9</v>
      </c>
      <c r="H14" s="42"/>
    </row>
    <row r="15" spans="1:29" x14ac:dyDescent="0.45">
      <c r="D15" s="51" t="s">
        <v>1099</v>
      </c>
      <c r="E15" s="41">
        <v>0.8571428571428571</v>
      </c>
      <c r="F15" s="42">
        <v>84</v>
      </c>
      <c r="G15" s="43">
        <v>0.9</v>
      </c>
      <c r="H15" s="42"/>
    </row>
    <row r="16" spans="1:29" x14ac:dyDescent="0.45">
      <c r="D16" s="51" t="s">
        <v>1100</v>
      </c>
      <c r="E16" s="41">
        <v>0.85882352941176465</v>
      </c>
      <c r="F16" s="42">
        <v>85</v>
      </c>
      <c r="G16" s="43">
        <v>0.9</v>
      </c>
    </row>
    <row r="17" spans="4:7" x14ac:dyDescent="0.45">
      <c r="D17" s="51" t="s">
        <v>1094</v>
      </c>
      <c r="E17" s="41">
        <v>0.92307692307692313</v>
      </c>
      <c r="F17" s="42">
        <v>91</v>
      </c>
      <c r="G17" s="43">
        <v>0.9</v>
      </c>
    </row>
    <row r="18" spans="4:7" x14ac:dyDescent="0.45">
      <c r="D18" s="33"/>
      <c r="E18"/>
      <c r="F18"/>
    </row>
    <row r="19" spans="4:7" x14ac:dyDescent="0.45">
      <c r="D19" s="33"/>
      <c r="E19"/>
      <c r="F19"/>
    </row>
    <row r="20" spans="4:7" x14ac:dyDescent="0.45">
      <c r="D20" s="33"/>
      <c r="E20"/>
      <c r="F20"/>
    </row>
    <row r="21" spans="4:7" x14ac:dyDescent="0.45">
      <c r="D21" s="33"/>
      <c r="E21"/>
      <c r="F21"/>
    </row>
    <row r="22" spans="4:7" x14ac:dyDescent="0.45">
      <c r="D22" s="33"/>
      <c r="E22"/>
      <c r="F22"/>
    </row>
    <row r="23" spans="4:7" x14ac:dyDescent="0.45">
      <c r="D23" s="33"/>
      <c r="E23"/>
      <c r="F23"/>
    </row>
    <row r="24" spans="4:7" x14ac:dyDescent="0.45">
      <c r="D24" s="33"/>
      <c r="E24"/>
      <c r="F24"/>
    </row>
    <row r="25" spans="4:7" x14ac:dyDescent="0.45">
      <c r="D25" s="33"/>
      <c r="E25"/>
      <c r="F25"/>
    </row>
    <row r="26" spans="4:7" x14ac:dyDescent="0.45">
      <c r="D26" s="33"/>
      <c r="E26"/>
      <c r="F26"/>
    </row>
    <row r="27" spans="4:7" x14ac:dyDescent="0.45">
      <c r="D27" s="33"/>
      <c r="E27"/>
      <c r="F27"/>
    </row>
    <row r="28" spans="4:7" x14ac:dyDescent="0.45">
      <c r="D28" s="33"/>
      <c r="E28"/>
      <c r="F28"/>
    </row>
    <row r="29" spans="4:7" x14ac:dyDescent="0.45">
      <c r="D29" s="33"/>
      <c r="E29"/>
      <c r="F29"/>
    </row>
    <row r="30" spans="4:7" x14ac:dyDescent="0.45">
      <c r="D30" s="33"/>
      <c r="E30"/>
      <c r="F30"/>
    </row>
    <row r="31" spans="4:7" x14ac:dyDescent="0.45">
      <c r="D31" s="33"/>
      <c r="E31"/>
      <c r="F31"/>
    </row>
    <row r="32" spans="4:7" x14ac:dyDescent="0.45">
      <c r="D32" s="33"/>
      <c r="E32"/>
      <c r="F32"/>
    </row>
    <row r="33" spans="4:6" x14ac:dyDescent="0.45">
      <c r="D33" s="33"/>
      <c r="E33"/>
      <c r="F33"/>
    </row>
    <row r="34" spans="4:6" x14ac:dyDescent="0.45">
      <c r="D34" s="33"/>
      <c r="E34"/>
      <c r="F34"/>
    </row>
    <row r="35" spans="4:6" x14ac:dyDescent="0.45">
      <c r="D35" s="33"/>
      <c r="E35"/>
      <c r="F35"/>
    </row>
    <row r="36" spans="4:6" x14ac:dyDescent="0.45">
      <c r="D36" s="33"/>
      <c r="E36"/>
      <c r="F36"/>
    </row>
    <row r="37" spans="4:6" x14ac:dyDescent="0.45">
      <c r="D37" s="33"/>
      <c r="E37"/>
      <c r="F37"/>
    </row>
    <row r="38" spans="4:6" x14ac:dyDescent="0.45">
      <c r="D38" s="33"/>
      <c r="E38"/>
      <c r="F38"/>
    </row>
    <row r="39" spans="4:6" x14ac:dyDescent="0.45">
      <c r="D39" s="33"/>
      <c r="E39"/>
      <c r="F39"/>
    </row>
    <row r="40" spans="4:6" x14ac:dyDescent="0.45">
      <c r="D40" s="33"/>
      <c r="E40"/>
      <c r="F40"/>
    </row>
    <row r="41" spans="4:6" x14ac:dyDescent="0.45">
      <c r="D41" s="33"/>
      <c r="E41"/>
      <c r="F41"/>
    </row>
    <row r="42" spans="4:6" x14ac:dyDescent="0.45">
      <c r="D42" s="33"/>
      <c r="E42"/>
      <c r="F42"/>
    </row>
    <row r="43" spans="4:6" x14ac:dyDescent="0.45">
      <c r="D43" s="33"/>
      <c r="E43"/>
      <c r="F43"/>
    </row>
    <row r="44" spans="4:6" x14ac:dyDescent="0.45">
      <c r="D44" s="33"/>
      <c r="E44"/>
      <c r="F44"/>
    </row>
    <row r="45" spans="4:6" x14ac:dyDescent="0.45">
      <c r="D45" s="33"/>
      <c r="E45"/>
      <c r="F45"/>
    </row>
    <row r="46" spans="4:6" x14ac:dyDescent="0.45">
      <c r="D46" s="33"/>
      <c r="E46"/>
      <c r="F46"/>
    </row>
    <row r="47" spans="4:6" x14ac:dyDescent="0.45">
      <c r="D47" s="33"/>
      <c r="E47"/>
      <c r="F47"/>
    </row>
    <row r="48" spans="4:6" x14ac:dyDescent="0.45">
      <c r="D48" s="33"/>
      <c r="E48"/>
      <c r="F48"/>
    </row>
    <row r="49" spans="4:6" x14ac:dyDescent="0.45">
      <c r="D49" s="33"/>
      <c r="E49"/>
      <c r="F49"/>
    </row>
    <row r="50" spans="4:6" x14ac:dyDescent="0.45">
      <c r="D50" s="33"/>
      <c r="E50"/>
      <c r="F50"/>
    </row>
    <row r="51" spans="4:6" x14ac:dyDescent="0.45">
      <c r="D51" s="33"/>
      <c r="E51"/>
      <c r="F51"/>
    </row>
    <row r="52" spans="4:6" x14ac:dyDescent="0.45">
      <c r="D52" s="33"/>
      <c r="E52"/>
      <c r="F52"/>
    </row>
    <row r="53" spans="4:6" x14ac:dyDescent="0.45">
      <c r="D53" s="33"/>
      <c r="E53"/>
      <c r="F53"/>
    </row>
    <row r="54" spans="4:6" x14ac:dyDescent="0.45">
      <c r="D54" s="33"/>
      <c r="E54"/>
      <c r="F54"/>
    </row>
    <row r="55" spans="4:6" x14ac:dyDescent="0.45">
      <c r="D55" s="33"/>
      <c r="E55"/>
      <c r="F55"/>
    </row>
    <row r="56" spans="4:6" x14ac:dyDescent="0.45">
      <c r="D56" s="33"/>
      <c r="E56"/>
      <c r="F56"/>
    </row>
    <row r="57" spans="4:6" x14ac:dyDescent="0.45">
      <c r="D57" s="33"/>
      <c r="E57"/>
      <c r="F57"/>
    </row>
    <row r="58" spans="4:6" x14ac:dyDescent="0.45">
      <c r="D58" s="33"/>
      <c r="E58"/>
      <c r="F58"/>
    </row>
    <row r="59" spans="4:6" x14ac:dyDescent="0.45">
      <c r="D59" s="33"/>
      <c r="E59"/>
      <c r="F59"/>
    </row>
    <row r="60" spans="4:6" x14ac:dyDescent="0.45">
      <c r="D60" s="33"/>
      <c r="E60"/>
      <c r="F60"/>
    </row>
    <row r="61" spans="4:6" x14ac:dyDescent="0.45">
      <c r="D61" s="33"/>
      <c r="E61"/>
      <c r="F61"/>
    </row>
    <row r="62" spans="4:6" x14ac:dyDescent="0.45">
      <c r="D62" s="33"/>
      <c r="E62"/>
      <c r="F62"/>
    </row>
    <row r="63" spans="4:6" x14ac:dyDescent="0.45">
      <c r="D63" s="33"/>
      <c r="E63"/>
      <c r="F63"/>
    </row>
    <row r="64" spans="4:6" x14ac:dyDescent="0.45">
      <c r="D64" s="33"/>
      <c r="E64"/>
      <c r="F64"/>
    </row>
    <row r="65" spans="4:6" x14ac:dyDescent="0.45">
      <c r="D65" s="33"/>
      <c r="E65"/>
      <c r="F65"/>
    </row>
    <row r="66" spans="4:6" x14ac:dyDescent="0.45">
      <c r="D66" s="33"/>
      <c r="E66"/>
      <c r="F66"/>
    </row>
    <row r="67" spans="4:6" x14ac:dyDescent="0.45">
      <c r="D67" s="33"/>
      <c r="E67"/>
      <c r="F67"/>
    </row>
    <row r="68" spans="4:6" x14ac:dyDescent="0.45">
      <c r="D68" s="33"/>
      <c r="E68"/>
      <c r="F68"/>
    </row>
    <row r="69" spans="4:6" x14ac:dyDescent="0.45">
      <c r="D69" s="33"/>
      <c r="E69"/>
      <c r="F69"/>
    </row>
    <row r="70" spans="4:6" x14ac:dyDescent="0.45">
      <c r="D70" s="33"/>
      <c r="E70"/>
      <c r="F70"/>
    </row>
    <row r="71" spans="4:6" x14ac:dyDescent="0.45">
      <c r="D71" s="33"/>
      <c r="E71"/>
      <c r="F71"/>
    </row>
    <row r="72" spans="4:6" x14ac:dyDescent="0.45">
      <c r="D72" s="33"/>
      <c r="E72"/>
      <c r="F72"/>
    </row>
    <row r="73" spans="4:6" x14ac:dyDescent="0.45">
      <c r="D73" s="33"/>
      <c r="E73"/>
      <c r="F73"/>
    </row>
    <row r="74" spans="4:6" x14ac:dyDescent="0.45">
      <c r="D74" s="33"/>
      <c r="E74"/>
      <c r="F74"/>
    </row>
    <row r="75" spans="4:6" x14ac:dyDescent="0.45">
      <c r="D75" s="33"/>
      <c r="E75"/>
      <c r="F75"/>
    </row>
    <row r="76" spans="4:6" x14ac:dyDescent="0.45">
      <c r="D76" s="33"/>
      <c r="E76"/>
      <c r="F76"/>
    </row>
    <row r="77" spans="4:6" x14ac:dyDescent="0.45">
      <c r="D77" s="33"/>
      <c r="E77"/>
      <c r="F77"/>
    </row>
    <row r="78" spans="4:6" x14ac:dyDescent="0.45">
      <c r="D78" s="33"/>
      <c r="E78"/>
      <c r="F78"/>
    </row>
    <row r="79" spans="4:6" x14ac:dyDescent="0.45">
      <c r="D79" s="33"/>
      <c r="E79"/>
      <c r="F79"/>
    </row>
    <row r="80" spans="4:6" x14ac:dyDescent="0.45">
      <c r="D80" s="33"/>
      <c r="E80"/>
      <c r="F80"/>
    </row>
    <row r="81" spans="4:6" x14ac:dyDescent="0.45">
      <c r="D81" s="33"/>
      <c r="E81"/>
      <c r="F81"/>
    </row>
    <row r="82" spans="4:6" x14ac:dyDescent="0.45">
      <c r="D82" s="33"/>
      <c r="E82"/>
      <c r="F82"/>
    </row>
    <row r="83" spans="4:6" x14ac:dyDescent="0.45">
      <c r="D83" s="33"/>
      <c r="E83"/>
      <c r="F83"/>
    </row>
    <row r="84" spans="4:6" x14ac:dyDescent="0.45">
      <c r="D84" s="33"/>
      <c r="E84"/>
      <c r="F84"/>
    </row>
    <row r="85" spans="4:6" x14ac:dyDescent="0.45">
      <c r="D85" s="33"/>
      <c r="E85"/>
      <c r="F85"/>
    </row>
    <row r="86" spans="4:6" x14ac:dyDescent="0.45">
      <c r="D86" s="33"/>
      <c r="E86"/>
      <c r="F86"/>
    </row>
    <row r="87" spans="4:6" x14ac:dyDescent="0.45">
      <c r="D87" s="33"/>
      <c r="E87"/>
      <c r="F87"/>
    </row>
    <row r="88" spans="4:6" x14ac:dyDescent="0.45">
      <c r="D88" s="33"/>
      <c r="E88"/>
      <c r="F88"/>
    </row>
    <row r="89" spans="4:6" x14ac:dyDescent="0.45">
      <c r="D89" s="33"/>
      <c r="E89"/>
      <c r="F89"/>
    </row>
    <row r="90" spans="4:6" x14ac:dyDescent="0.45">
      <c r="D90" s="33"/>
      <c r="E90"/>
      <c r="F90"/>
    </row>
    <row r="91" spans="4:6" x14ac:dyDescent="0.45">
      <c r="D91" s="33"/>
      <c r="E91"/>
      <c r="F91"/>
    </row>
    <row r="92" spans="4:6" x14ac:dyDescent="0.45">
      <c r="D92" s="33"/>
      <c r="E92"/>
      <c r="F92"/>
    </row>
    <row r="93" spans="4:6" x14ac:dyDescent="0.45">
      <c r="D93" s="33"/>
      <c r="E93"/>
      <c r="F93"/>
    </row>
    <row r="94" spans="4:6" x14ac:dyDescent="0.45">
      <c r="D94" s="33"/>
      <c r="E94"/>
      <c r="F94"/>
    </row>
    <row r="95" spans="4:6" x14ac:dyDescent="0.45">
      <c r="D95" s="33"/>
      <c r="E95"/>
      <c r="F95"/>
    </row>
    <row r="96" spans="4:6" x14ac:dyDescent="0.45">
      <c r="D96" s="33"/>
      <c r="E96"/>
      <c r="F96"/>
    </row>
    <row r="97" spans="4:6" x14ac:dyDescent="0.45">
      <c r="D97" s="33"/>
      <c r="E97"/>
      <c r="F97"/>
    </row>
    <row r="98" spans="4:6" x14ac:dyDescent="0.45">
      <c r="D98" s="33"/>
      <c r="E98"/>
      <c r="F98"/>
    </row>
    <row r="99" spans="4:6" x14ac:dyDescent="0.45">
      <c r="D99" s="33"/>
      <c r="E99"/>
      <c r="F99"/>
    </row>
    <row r="100" spans="4:6" x14ac:dyDescent="0.45">
      <c r="D100" s="33"/>
      <c r="E100"/>
      <c r="F100"/>
    </row>
    <row r="101" spans="4:6" x14ac:dyDescent="0.45">
      <c r="D101" s="33"/>
      <c r="E101"/>
      <c r="F101"/>
    </row>
    <row r="102" spans="4:6" x14ac:dyDescent="0.45">
      <c r="D102" s="33"/>
      <c r="E102"/>
      <c r="F102"/>
    </row>
    <row r="103" spans="4:6" x14ac:dyDescent="0.45">
      <c r="D103" s="33"/>
      <c r="E103"/>
      <c r="F103"/>
    </row>
    <row r="104" spans="4:6" x14ac:dyDescent="0.45">
      <c r="D104" s="33"/>
      <c r="E104"/>
      <c r="F104"/>
    </row>
    <row r="105" spans="4:6" x14ac:dyDescent="0.45">
      <c r="D105" s="33"/>
      <c r="E105"/>
      <c r="F105"/>
    </row>
    <row r="106" spans="4:6" x14ac:dyDescent="0.45">
      <c r="D106" s="33"/>
      <c r="E106"/>
      <c r="F106"/>
    </row>
    <row r="107" spans="4:6" x14ac:dyDescent="0.45">
      <c r="D107" s="33"/>
      <c r="E107"/>
      <c r="F107"/>
    </row>
    <row r="108" spans="4:6" x14ac:dyDescent="0.45">
      <c r="D108" s="33"/>
      <c r="E108"/>
      <c r="F108"/>
    </row>
    <row r="109" spans="4:6" x14ac:dyDescent="0.45">
      <c r="D109" s="33"/>
      <c r="E109"/>
      <c r="F109"/>
    </row>
    <row r="110" spans="4:6" x14ac:dyDescent="0.45">
      <c r="D110" s="33"/>
      <c r="E110"/>
      <c r="F110"/>
    </row>
    <row r="111" spans="4:6" x14ac:dyDescent="0.45">
      <c r="D111" s="33"/>
      <c r="E111"/>
      <c r="F111"/>
    </row>
    <row r="112" spans="4:6" x14ac:dyDescent="0.45">
      <c r="D112" s="33"/>
      <c r="E112"/>
      <c r="F112"/>
    </row>
    <row r="113" spans="4:6" x14ac:dyDescent="0.45">
      <c r="D113" s="33"/>
      <c r="E113"/>
      <c r="F113"/>
    </row>
    <row r="114" spans="4:6" x14ac:dyDescent="0.45">
      <c r="D114" s="33"/>
      <c r="E114"/>
      <c r="F114"/>
    </row>
    <row r="115" spans="4:6" x14ac:dyDescent="0.45">
      <c r="D115" s="33"/>
      <c r="E115"/>
      <c r="F115"/>
    </row>
    <row r="116" spans="4:6" x14ac:dyDescent="0.45">
      <c r="D116" s="33"/>
      <c r="E116"/>
      <c r="F116"/>
    </row>
    <row r="117" spans="4:6" x14ac:dyDescent="0.45">
      <c r="D117" s="33"/>
      <c r="E117"/>
      <c r="F117"/>
    </row>
    <row r="118" spans="4:6" x14ac:dyDescent="0.45">
      <c r="D118" s="33"/>
      <c r="E118"/>
      <c r="F118"/>
    </row>
    <row r="119" spans="4:6" x14ac:dyDescent="0.45">
      <c r="D119" s="33"/>
      <c r="E119"/>
      <c r="F119"/>
    </row>
    <row r="120" spans="4:6" x14ac:dyDescent="0.45">
      <c r="D120" s="33"/>
      <c r="E120"/>
      <c r="F120"/>
    </row>
    <row r="121" spans="4:6" x14ac:dyDescent="0.45">
      <c r="D121" s="33"/>
      <c r="E121"/>
      <c r="F121"/>
    </row>
    <row r="122" spans="4:6" x14ac:dyDescent="0.45">
      <c r="D122" s="33"/>
      <c r="E122"/>
      <c r="F122"/>
    </row>
    <row r="123" spans="4:6" x14ac:dyDescent="0.45">
      <c r="D123" s="33"/>
      <c r="E123"/>
      <c r="F123"/>
    </row>
    <row r="124" spans="4:6" x14ac:dyDescent="0.45">
      <c r="D124" s="33"/>
      <c r="E124"/>
      <c r="F124"/>
    </row>
    <row r="125" spans="4:6" x14ac:dyDescent="0.45">
      <c r="D125" s="33"/>
      <c r="E125"/>
      <c r="F125"/>
    </row>
    <row r="126" spans="4:6" x14ac:dyDescent="0.45">
      <c r="D126" s="33"/>
      <c r="E126"/>
      <c r="F126"/>
    </row>
    <row r="127" spans="4:6" x14ac:dyDescent="0.45">
      <c r="D127" s="33"/>
      <c r="E127"/>
      <c r="F127"/>
    </row>
    <row r="128" spans="4:6" x14ac:dyDescent="0.45">
      <c r="D128" s="33"/>
      <c r="E128"/>
      <c r="F128"/>
    </row>
    <row r="129" spans="4:6" x14ac:dyDescent="0.45">
      <c r="D129" s="33"/>
      <c r="E129"/>
      <c r="F129"/>
    </row>
    <row r="130" spans="4:6" x14ac:dyDescent="0.45">
      <c r="D130" s="33"/>
      <c r="E130"/>
      <c r="F130"/>
    </row>
    <row r="131" spans="4:6" x14ac:dyDescent="0.45">
      <c r="D131" s="33"/>
      <c r="E131"/>
      <c r="F131"/>
    </row>
    <row r="132" spans="4:6" x14ac:dyDescent="0.45">
      <c r="D132" s="33"/>
      <c r="E132"/>
      <c r="F132"/>
    </row>
    <row r="133" spans="4:6" x14ac:dyDescent="0.45">
      <c r="D133" s="33"/>
      <c r="E133"/>
      <c r="F133"/>
    </row>
    <row r="134" spans="4:6" x14ac:dyDescent="0.45">
      <c r="D134" s="33"/>
      <c r="E134"/>
      <c r="F134"/>
    </row>
    <row r="135" spans="4:6" x14ac:dyDescent="0.45">
      <c r="D135" s="33"/>
      <c r="E135"/>
      <c r="F135"/>
    </row>
    <row r="136" spans="4:6" x14ac:dyDescent="0.45">
      <c r="D136" s="33"/>
      <c r="E136"/>
      <c r="F136"/>
    </row>
    <row r="137" spans="4:6" x14ac:dyDescent="0.45">
      <c r="D137" s="33"/>
      <c r="E137"/>
      <c r="F137"/>
    </row>
    <row r="138" spans="4:6" x14ac:dyDescent="0.45">
      <c r="D138" s="33"/>
      <c r="E138"/>
      <c r="F138"/>
    </row>
    <row r="139" spans="4:6" x14ac:dyDescent="0.45">
      <c r="D139" s="33"/>
      <c r="E139"/>
      <c r="F139"/>
    </row>
    <row r="140" spans="4:6" x14ac:dyDescent="0.45">
      <c r="D140" s="33"/>
      <c r="E140"/>
      <c r="F140"/>
    </row>
    <row r="141" spans="4:6" x14ac:dyDescent="0.45">
      <c r="D141" s="33"/>
      <c r="E141"/>
      <c r="F141"/>
    </row>
    <row r="142" spans="4:6" x14ac:dyDescent="0.45">
      <c r="D142" s="33"/>
      <c r="E142"/>
      <c r="F142"/>
    </row>
    <row r="143" spans="4:6" x14ac:dyDescent="0.45">
      <c r="D143" s="33"/>
      <c r="E143"/>
      <c r="F143"/>
    </row>
    <row r="144" spans="4:6" x14ac:dyDescent="0.45">
      <c r="D144" s="33"/>
      <c r="E144"/>
      <c r="F144"/>
    </row>
    <row r="145" spans="4:6" x14ac:dyDescent="0.45">
      <c r="D145" s="33"/>
      <c r="E145"/>
      <c r="F145"/>
    </row>
    <row r="146" spans="4:6" x14ac:dyDescent="0.45">
      <c r="D146" s="33"/>
      <c r="E146"/>
      <c r="F146"/>
    </row>
    <row r="147" spans="4:6" x14ac:dyDescent="0.45">
      <c r="D147" s="33"/>
      <c r="E147"/>
      <c r="F147"/>
    </row>
    <row r="148" spans="4:6" x14ac:dyDescent="0.45">
      <c r="D148" s="33"/>
      <c r="E148"/>
      <c r="F148"/>
    </row>
    <row r="149" spans="4:6" x14ac:dyDescent="0.45">
      <c r="D149" s="33"/>
      <c r="E149"/>
      <c r="F149"/>
    </row>
    <row r="150" spans="4:6" x14ac:dyDescent="0.45">
      <c r="D150" s="33"/>
      <c r="E150"/>
      <c r="F150"/>
    </row>
    <row r="151" spans="4:6" x14ac:dyDescent="0.45">
      <c r="D151" s="33"/>
      <c r="E151"/>
      <c r="F151"/>
    </row>
    <row r="152" spans="4:6" x14ac:dyDescent="0.45">
      <c r="D152" s="33"/>
      <c r="E152"/>
      <c r="F152"/>
    </row>
    <row r="153" spans="4:6" x14ac:dyDescent="0.45">
      <c r="D153" s="33"/>
      <c r="E153"/>
      <c r="F153"/>
    </row>
    <row r="154" spans="4:6" x14ac:dyDescent="0.45">
      <c r="D154" s="33"/>
      <c r="E154"/>
      <c r="F154"/>
    </row>
    <row r="155" spans="4:6" x14ac:dyDescent="0.45">
      <c r="D155" s="33"/>
      <c r="E155"/>
      <c r="F155"/>
    </row>
    <row r="156" spans="4:6" x14ac:dyDescent="0.45">
      <c r="D156" s="33"/>
      <c r="E156"/>
      <c r="F156"/>
    </row>
    <row r="157" spans="4:6" x14ac:dyDescent="0.45">
      <c r="D157" s="33"/>
      <c r="E157"/>
      <c r="F157"/>
    </row>
    <row r="158" spans="4:6" x14ac:dyDescent="0.45">
      <c r="D158" s="33"/>
      <c r="E158"/>
      <c r="F158"/>
    </row>
    <row r="159" spans="4:6" x14ac:dyDescent="0.45">
      <c r="D159" s="33"/>
      <c r="E159"/>
      <c r="F159"/>
    </row>
    <row r="160" spans="4:6" x14ac:dyDescent="0.45">
      <c r="D160" s="33"/>
      <c r="E160"/>
      <c r="F160"/>
    </row>
    <row r="161" spans="4:6" x14ac:dyDescent="0.45">
      <c r="D161" s="33"/>
      <c r="E161"/>
      <c r="F161"/>
    </row>
    <row r="162" spans="4:6" x14ac:dyDescent="0.45">
      <c r="D162" s="33"/>
      <c r="E162"/>
      <c r="F162"/>
    </row>
    <row r="163" spans="4:6" x14ac:dyDescent="0.45">
      <c r="D163" s="33"/>
      <c r="E163"/>
      <c r="F163"/>
    </row>
    <row r="164" spans="4:6" x14ac:dyDescent="0.45">
      <c r="D164" s="33"/>
      <c r="E164"/>
      <c r="F164"/>
    </row>
    <row r="165" spans="4:6" x14ac:dyDescent="0.45">
      <c r="D165" s="33"/>
      <c r="E165"/>
      <c r="F165"/>
    </row>
    <row r="166" spans="4:6" x14ac:dyDescent="0.45">
      <c r="D166" s="33"/>
      <c r="E166"/>
      <c r="F166"/>
    </row>
    <row r="167" spans="4:6" x14ac:dyDescent="0.45">
      <c r="D167" s="33"/>
      <c r="E167"/>
      <c r="F167"/>
    </row>
    <row r="168" spans="4:6" x14ac:dyDescent="0.45">
      <c r="D168" s="33"/>
      <c r="E168"/>
      <c r="F168"/>
    </row>
    <row r="169" spans="4:6" x14ac:dyDescent="0.45">
      <c r="D169" s="33"/>
      <c r="E169"/>
      <c r="F169"/>
    </row>
    <row r="170" spans="4:6" x14ac:dyDescent="0.45">
      <c r="D170" s="33"/>
      <c r="E170"/>
      <c r="F170"/>
    </row>
    <row r="171" spans="4:6" x14ac:dyDescent="0.45">
      <c r="D171" s="33"/>
      <c r="E171"/>
      <c r="F171"/>
    </row>
    <row r="172" spans="4:6" x14ac:dyDescent="0.45">
      <c r="D172" s="33"/>
      <c r="E172"/>
      <c r="F172"/>
    </row>
    <row r="173" spans="4:6" x14ac:dyDescent="0.45">
      <c r="D173" s="33"/>
      <c r="E173"/>
      <c r="F173"/>
    </row>
    <row r="174" spans="4:6" x14ac:dyDescent="0.45">
      <c r="D174" s="33"/>
      <c r="E174"/>
      <c r="F174"/>
    </row>
    <row r="175" spans="4:6" x14ac:dyDescent="0.45">
      <c r="D175" s="33"/>
      <c r="E175"/>
      <c r="F175"/>
    </row>
    <row r="176" spans="4:6" x14ac:dyDescent="0.45">
      <c r="D176" s="33"/>
      <c r="E176"/>
      <c r="F176"/>
    </row>
    <row r="177" spans="4:6" x14ac:dyDescent="0.45">
      <c r="D177" s="33"/>
      <c r="E177"/>
      <c r="F177"/>
    </row>
    <row r="178" spans="4:6" x14ac:dyDescent="0.45">
      <c r="D178" s="33"/>
      <c r="E178"/>
      <c r="F178"/>
    </row>
    <row r="179" spans="4:6" x14ac:dyDescent="0.45">
      <c r="D179" s="33"/>
      <c r="E179"/>
      <c r="F179"/>
    </row>
    <row r="180" spans="4:6" x14ac:dyDescent="0.45">
      <c r="D180" s="33"/>
      <c r="E180"/>
      <c r="F180"/>
    </row>
    <row r="181" spans="4:6" x14ac:dyDescent="0.45">
      <c r="D181" s="33"/>
      <c r="E181"/>
      <c r="F181"/>
    </row>
    <row r="182" spans="4:6" x14ac:dyDescent="0.45">
      <c r="D182" s="33"/>
      <c r="E182"/>
      <c r="F182"/>
    </row>
    <row r="183" spans="4:6" x14ac:dyDescent="0.45">
      <c r="D183" s="33"/>
      <c r="E183"/>
      <c r="F183"/>
    </row>
    <row r="184" spans="4:6" x14ac:dyDescent="0.45">
      <c r="D184" s="33"/>
      <c r="E184"/>
      <c r="F184"/>
    </row>
    <row r="185" spans="4:6" x14ac:dyDescent="0.45">
      <c r="D185" s="33"/>
      <c r="E185"/>
      <c r="F185"/>
    </row>
    <row r="186" spans="4:6" x14ac:dyDescent="0.45">
      <c r="D186" s="33"/>
      <c r="E186"/>
      <c r="F186"/>
    </row>
    <row r="187" spans="4:6" x14ac:dyDescent="0.45">
      <c r="D187" s="33"/>
      <c r="E187"/>
      <c r="F187"/>
    </row>
    <row r="188" spans="4:6" x14ac:dyDescent="0.45">
      <c r="D188" s="33"/>
      <c r="E188"/>
      <c r="F188"/>
    </row>
    <row r="189" spans="4:6" x14ac:dyDescent="0.45">
      <c r="D189" s="33"/>
      <c r="E189"/>
      <c r="F189"/>
    </row>
    <row r="190" spans="4:6" x14ac:dyDescent="0.45">
      <c r="D190" s="33"/>
      <c r="E190"/>
      <c r="F190"/>
    </row>
    <row r="191" spans="4:6" x14ac:dyDescent="0.45">
      <c r="D191" s="33"/>
      <c r="E191"/>
      <c r="F191"/>
    </row>
    <row r="192" spans="4:6" x14ac:dyDescent="0.45">
      <c r="D192" s="33"/>
      <c r="E192"/>
      <c r="F192"/>
    </row>
    <row r="193" spans="4:6" x14ac:dyDescent="0.45">
      <c r="D193" s="33"/>
      <c r="E193"/>
      <c r="F193"/>
    </row>
    <row r="194" spans="4:6" x14ac:dyDescent="0.45">
      <c r="D194" s="33"/>
      <c r="E194"/>
      <c r="F194"/>
    </row>
    <row r="195" spans="4:6" x14ac:dyDescent="0.45">
      <c r="D195" s="33"/>
      <c r="E195"/>
      <c r="F195"/>
    </row>
    <row r="196" spans="4:6" x14ac:dyDescent="0.45">
      <c r="D196" s="33"/>
      <c r="E196"/>
      <c r="F196"/>
    </row>
    <row r="197" spans="4:6" x14ac:dyDescent="0.45">
      <c r="D197" s="33"/>
      <c r="E197"/>
      <c r="F197"/>
    </row>
    <row r="198" spans="4:6" x14ac:dyDescent="0.45">
      <c r="D198" s="33"/>
      <c r="E198"/>
      <c r="F198"/>
    </row>
    <row r="199" spans="4:6" x14ac:dyDescent="0.45">
      <c r="D199" s="33"/>
      <c r="E199"/>
      <c r="F199"/>
    </row>
    <row r="200" spans="4:6" x14ac:dyDescent="0.45">
      <c r="D200" s="33"/>
      <c r="E200"/>
      <c r="F200"/>
    </row>
    <row r="201" spans="4:6" x14ac:dyDescent="0.45">
      <c r="D201" s="33"/>
      <c r="E201"/>
      <c r="F201"/>
    </row>
    <row r="202" spans="4:6" x14ac:dyDescent="0.45">
      <c r="D202" s="33"/>
      <c r="E202"/>
      <c r="F202"/>
    </row>
    <row r="203" spans="4:6" x14ac:dyDescent="0.45">
      <c r="D203" s="33"/>
      <c r="E203"/>
      <c r="F203"/>
    </row>
    <row r="204" spans="4:6" x14ac:dyDescent="0.45">
      <c r="D204" s="33"/>
      <c r="E204"/>
      <c r="F204"/>
    </row>
    <row r="205" spans="4:6" x14ac:dyDescent="0.45">
      <c r="D205" s="33"/>
      <c r="E205"/>
      <c r="F205"/>
    </row>
    <row r="206" spans="4:6" x14ac:dyDescent="0.45">
      <c r="D206" s="33"/>
      <c r="E206"/>
      <c r="F206"/>
    </row>
    <row r="207" spans="4:6" x14ac:dyDescent="0.45">
      <c r="D207" s="33"/>
      <c r="E207"/>
      <c r="F207"/>
    </row>
    <row r="208" spans="4:6" x14ac:dyDescent="0.45">
      <c r="D208" s="33"/>
      <c r="E208"/>
      <c r="F208"/>
    </row>
    <row r="209" spans="4:6" x14ac:dyDescent="0.45">
      <c r="D209" s="33"/>
      <c r="E209"/>
      <c r="F209"/>
    </row>
    <row r="210" spans="4:6" x14ac:dyDescent="0.45">
      <c r="D210" s="33"/>
      <c r="E210"/>
      <c r="F210"/>
    </row>
    <row r="211" spans="4:6" x14ac:dyDescent="0.45">
      <c r="D211" s="33"/>
      <c r="E211"/>
      <c r="F211"/>
    </row>
    <row r="212" spans="4:6" x14ac:dyDescent="0.45">
      <c r="D212" s="33"/>
      <c r="E212"/>
      <c r="F212"/>
    </row>
    <row r="213" spans="4:6" x14ac:dyDescent="0.45">
      <c r="D213" s="33"/>
      <c r="E213"/>
      <c r="F213"/>
    </row>
    <row r="214" spans="4:6" x14ac:dyDescent="0.45">
      <c r="D214" s="33"/>
      <c r="E214"/>
      <c r="F214"/>
    </row>
    <row r="215" spans="4:6" x14ac:dyDescent="0.45">
      <c r="D215" s="33"/>
      <c r="E215"/>
      <c r="F215"/>
    </row>
    <row r="216" spans="4:6" x14ac:dyDescent="0.45">
      <c r="D216" s="33"/>
      <c r="E216"/>
      <c r="F216"/>
    </row>
    <row r="217" spans="4:6" x14ac:dyDescent="0.45">
      <c r="D217" s="33"/>
      <c r="E217"/>
      <c r="F217"/>
    </row>
    <row r="218" spans="4:6" x14ac:dyDescent="0.45">
      <c r="D218" s="33"/>
      <c r="E218"/>
      <c r="F218"/>
    </row>
    <row r="219" spans="4:6" x14ac:dyDescent="0.45">
      <c r="D219" s="33"/>
      <c r="E219"/>
      <c r="F219"/>
    </row>
    <row r="220" spans="4:6" x14ac:dyDescent="0.45">
      <c r="D220" s="33"/>
      <c r="E220"/>
      <c r="F220"/>
    </row>
    <row r="221" spans="4:6" x14ac:dyDescent="0.45">
      <c r="D221" s="33"/>
      <c r="E221"/>
      <c r="F221"/>
    </row>
    <row r="222" spans="4:6" x14ac:dyDescent="0.45">
      <c r="D222" s="33"/>
      <c r="E222"/>
      <c r="F222"/>
    </row>
    <row r="223" spans="4:6" x14ac:dyDescent="0.45">
      <c r="D223" s="33"/>
      <c r="E223"/>
      <c r="F223"/>
    </row>
    <row r="224" spans="4:6" x14ac:dyDescent="0.45">
      <c r="D224" s="33"/>
      <c r="E224"/>
      <c r="F224"/>
    </row>
    <row r="225" spans="4:6" x14ac:dyDescent="0.45">
      <c r="D225" s="33"/>
      <c r="E225"/>
      <c r="F225"/>
    </row>
    <row r="226" spans="4:6" x14ac:dyDescent="0.45">
      <c r="D226" s="33"/>
      <c r="E226"/>
      <c r="F226"/>
    </row>
    <row r="227" spans="4:6" x14ac:dyDescent="0.45">
      <c r="D227" s="33"/>
      <c r="E227"/>
      <c r="F227"/>
    </row>
    <row r="228" spans="4:6" x14ac:dyDescent="0.45">
      <c r="D228" s="33"/>
      <c r="E228"/>
      <c r="F228"/>
    </row>
    <row r="229" spans="4:6" x14ac:dyDescent="0.45">
      <c r="D229" s="33"/>
      <c r="E229"/>
      <c r="F229"/>
    </row>
    <row r="230" spans="4:6" x14ac:dyDescent="0.45">
      <c r="D230" s="33"/>
      <c r="E230"/>
      <c r="F230"/>
    </row>
    <row r="231" spans="4:6" x14ac:dyDescent="0.45">
      <c r="D231" s="33"/>
      <c r="E231"/>
      <c r="F231"/>
    </row>
    <row r="232" spans="4:6" x14ac:dyDescent="0.45">
      <c r="D232" s="33"/>
      <c r="E232"/>
      <c r="F232"/>
    </row>
    <row r="233" spans="4:6" x14ac:dyDescent="0.45">
      <c r="D233" s="33"/>
      <c r="E233"/>
      <c r="F233"/>
    </row>
    <row r="234" spans="4:6" x14ac:dyDescent="0.45">
      <c r="D234" s="33"/>
      <c r="E234"/>
      <c r="F234"/>
    </row>
    <row r="235" spans="4:6" x14ac:dyDescent="0.45">
      <c r="D235" s="33"/>
      <c r="E235"/>
      <c r="F235"/>
    </row>
    <row r="236" spans="4:6" x14ac:dyDescent="0.45">
      <c r="D236" s="33"/>
      <c r="E236"/>
      <c r="F236"/>
    </row>
    <row r="237" spans="4:6" x14ac:dyDescent="0.45">
      <c r="D237" s="33"/>
      <c r="E237"/>
      <c r="F237"/>
    </row>
    <row r="238" spans="4:6" x14ac:dyDescent="0.45">
      <c r="D238" s="33"/>
      <c r="E238"/>
      <c r="F238"/>
    </row>
    <row r="239" spans="4:6" x14ac:dyDescent="0.45">
      <c r="D239" s="33"/>
      <c r="E239"/>
      <c r="F239"/>
    </row>
    <row r="240" spans="4:6" x14ac:dyDescent="0.45">
      <c r="D240" s="33"/>
      <c r="E240"/>
      <c r="F240"/>
    </row>
    <row r="241" spans="4:6" x14ac:dyDescent="0.45">
      <c r="D241" s="33"/>
      <c r="E241"/>
      <c r="F241"/>
    </row>
    <row r="242" spans="4:6" x14ac:dyDescent="0.45">
      <c r="D242" s="33"/>
      <c r="E242"/>
      <c r="F242"/>
    </row>
    <row r="243" spans="4:6" x14ac:dyDescent="0.45">
      <c r="D243" s="33"/>
      <c r="E243"/>
      <c r="F243"/>
    </row>
    <row r="244" spans="4:6" x14ac:dyDescent="0.45">
      <c r="D244" s="33"/>
      <c r="E244"/>
      <c r="F244"/>
    </row>
    <row r="245" spans="4:6" x14ac:dyDescent="0.45">
      <c r="D245" s="33"/>
      <c r="E245"/>
      <c r="F245"/>
    </row>
    <row r="246" spans="4:6" x14ac:dyDescent="0.45">
      <c r="D246" s="33"/>
      <c r="E246"/>
      <c r="F246"/>
    </row>
    <row r="247" spans="4:6" x14ac:dyDescent="0.45">
      <c r="D247" s="33"/>
      <c r="E247"/>
      <c r="F247"/>
    </row>
    <row r="248" spans="4:6" x14ac:dyDescent="0.45">
      <c r="D248" s="33"/>
      <c r="E248"/>
      <c r="F248"/>
    </row>
    <row r="249" spans="4:6" x14ac:dyDescent="0.45">
      <c r="D249" s="33"/>
      <c r="E249"/>
      <c r="F249"/>
    </row>
    <row r="250" spans="4:6" x14ac:dyDescent="0.45">
      <c r="D250" s="33"/>
      <c r="E250"/>
      <c r="F250"/>
    </row>
    <row r="251" spans="4:6" x14ac:dyDescent="0.45">
      <c r="D251" s="33"/>
      <c r="E251"/>
      <c r="F251"/>
    </row>
    <row r="252" spans="4:6" x14ac:dyDescent="0.45">
      <c r="D252" s="33"/>
      <c r="E252"/>
      <c r="F252"/>
    </row>
    <row r="253" spans="4:6" x14ac:dyDescent="0.45">
      <c r="D253" s="33"/>
      <c r="E253"/>
      <c r="F253"/>
    </row>
    <row r="254" spans="4:6" x14ac:dyDescent="0.45">
      <c r="D254" s="33"/>
      <c r="E254"/>
      <c r="F254"/>
    </row>
    <row r="255" spans="4:6" x14ac:dyDescent="0.45">
      <c r="D255" s="33"/>
      <c r="E255"/>
      <c r="F255"/>
    </row>
    <row r="256" spans="4:6" x14ac:dyDescent="0.45">
      <c r="D256" s="33"/>
      <c r="E256"/>
      <c r="F256"/>
    </row>
    <row r="257" spans="4:6" x14ac:dyDescent="0.45">
      <c r="D257" s="33"/>
      <c r="E257"/>
      <c r="F257"/>
    </row>
    <row r="258" spans="4:6" x14ac:dyDescent="0.45">
      <c r="D258" s="33"/>
      <c r="E258"/>
      <c r="F258"/>
    </row>
    <row r="259" spans="4:6" x14ac:dyDescent="0.45">
      <c r="D259" s="33"/>
      <c r="E259"/>
      <c r="F259"/>
    </row>
    <row r="260" spans="4:6" x14ac:dyDescent="0.45">
      <c r="D260" s="33"/>
      <c r="E260"/>
      <c r="F260"/>
    </row>
    <row r="261" spans="4:6" x14ac:dyDescent="0.45">
      <c r="D261" s="33"/>
      <c r="E261"/>
      <c r="F261"/>
    </row>
    <row r="262" spans="4:6" x14ac:dyDescent="0.45">
      <c r="D262" s="33"/>
      <c r="E262"/>
      <c r="F262"/>
    </row>
    <row r="263" spans="4:6" x14ac:dyDescent="0.45">
      <c r="D263" s="33"/>
      <c r="E263"/>
      <c r="F263"/>
    </row>
    <row r="264" spans="4:6" x14ac:dyDescent="0.45">
      <c r="D264" s="33"/>
      <c r="E264"/>
      <c r="F264"/>
    </row>
    <row r="265" spans="4:6" x14ac:dyDescent="0.45">
      <c r="D265" s="33"/>
      <c r="E265"/>
      <c r="F265"/>
    </row>
    <row r="266" spans="4:6" x14ac:dyDescent="0.45">
      <c r="D266" s="33"/>
      <c r="E266"/>
      <c r="F266"/>
    </row>
    <row r="267" spans="4:6" x14ac:dyDescent="0.45">
      <c r="D267" s="33"/>
      <c r="E267"/>
      <c r="F267"/>
    </row>
    <row r="268" spans="4:6" x14ac:dyDescent="0.45">
      <c r="D268" s="33"/>
      <c r="E268"/>
      <c r="F268"/>
    </row>
    <row r="269" spans="4:6" x14ac:dyDescent="0.45">
      <c r="D269" s="33"/>
      <c r="E269"/>
      <c r="F269"/>
    </row>
    <row r="270" spans="4:6" x14ac:dyDescent="0.45">
      <c r="D270" s="33"/>
      <c r="E270"/>
      <c r="F270"/>
    </row>
    <row r="271" spans="4:6" x14ac:dyDescent="0.45">
      <c r="D271" s="33"/>
      <c r="E271"/>
      <c r="F271"/>
    </row>
    <row r="272" spans="4:6" x14ac:dyDescent="0.45">
      <c r="D272" s="33"/>
      <c r="E272"/>
      <c r="F272"/>
    </row>
    <row r="273" spans="4:6" x14ac:dyDescent="0.45">
      <c r="D273" s="33"/>
      <c r="E273"/>
      <c r="F273"/>
    </row>
    <row r="274" spans="4:6" x14ac:dyDescent="0.45">
      <c r="D274" s="33"/>
      <c r="E274"/>
      <c r="F274"/>
    </row>
    <row r="275" spans="4:6" x14ac:dyDescent="0.45">
      <c r="D275" s="33"/>
      <c r="E275"/>
      <c r="F275"/>
    </row>
    <row r="276" spans="4:6" x14ac:dyDescent="0.45">
      <c r="D276" s="33"/>
      <c r="E276"/>
      <c r="F276"/>
    </row>
    <row r="277" spans="4:6" x14ac:dyDescent="0.45">
      <c r="D277" s="33"/>
      <c r="E277"/>
      <c r="F277"/>
    </row>
    <row r="278" spans="4:6" x14ac:dyDescent="0.45">
      <c r="D278" s="33"/>
      <c r="E278"/>
      <c r="F278"/>
    </row>
    <row r="279" spans="4:6" x14ac:dyDescent="0.45">
      <c r="D279" s="33"/>
      <c r="E279"/>
      <c r="F279"/>
    </row>
    <row r="280" spans="4:6" x14ac:dyDescent="0.45">
      <c r="D280" s="33"/>
      <c r="E280"/>
      <c r="F280"/>
    </row>
    <row r="281" spans="4:6" x14ac:dyDescent="0.45">
      <c r="D281" s="33"/>
      <c r="E281"/>
      <c r="F281"/>
    </row>
    <row r="282" spans="4:6" x14ac:dyDescent="0.45">
      <c r="D282" s="33"/>
      <c r="E282"/>
      <c r="F282"/>
    </row>
    <row r="283" spans="4:6" x14ac:dyDescent="0.45">
      <c r="D283" s="33"/>
      <c r="E283"/>
      <c r="F283"/>
    </row>
    <row r="284" spans="4:6" x14ac:dyDescent="0.45">
      <c r="D284" s="33"/>
      <c r="E284"/>
      <c r="F284"/>
    </row>
    <row r="285" spans="4:6" x14ac:dyDescent="0.45">
      <c r="D285" s="33"/>
      <c r="E285"/>
      <c r="F285"/>
    </row>
    <row r="286" spans="4:6" x14ac:dyDescent="0.45">
      <c r="D286" s="33"/>
      <c r="E286"/>
      <c r="F286"/>
    </row>
    <row r="287" spans="4:6" x14ac:dyDescent="0.45">
      <c r="D287" s="33"/>
      <c r="E287"/>
      <c r="F287"/>
    </row>
    <row r="288" spans="4:6" x14ac:dyDescent="0.45">
      <c r="D288" s="33"/>
      <c r="E288"/>
      <c r="F288"/>
    </row>
    <row r="289" spans="4:6" x14ac:dyDescent="0.45">
      <c r="D289" s="33"/>
      <c r="E289"/>
      <c r="F289"/>
    </row>
    <row r="290" spans="4:6" x14ac:dyDescent="0.45">
      <c r="D290" s="33"/>
      <c r="E290"/>
      <c r="F290"/>
    </row>
    <row r="291" spans="4:6" x14ac:dyDescent="0.45">
      <c r="D291" s="33"/>
      <c r="E291"/>
      <c r="F291"/>
    </row>
    <row r="292" spans="4:6" x14ac:dyDescent="0.45">
      <c r="D292" s="33"/>
      <c r="E292"/>
      <c r="F292"/>
    </row>
    <row r="293" spans="4:6" x14ac:dyDescent="0.45">
      <c r="D293" s="33"/>
      <c r="E293"/>
      <c r="F293"/>
    </row>
    <row r="294" spans="4:6" x14ac:dyDescent="0.45">
      <c r="D294" s="33"/>
      <c r="E294"/>
      <c r="F294"/>
    </row>
    <row r="295" spans="4:6" x14ac:dyDescent="0.45">
      <c r="D295" s="33"/>
      <c r="E295"/>
      <c r="F295"/>
    </row>
    <row r="296" spans="4:6" x14ac:dyDescent="0.45">
      <c r="D296" s="33"/>
      <c r="E296"/>
      <c r="F296"/>
    </row>
    <row r="297" spans="4:6" x14ac:dyDescent="0.45">
      <c r="D297" s="33"/>
      <c r="E297"/>
      <c r="F297"/>
    </row>
    <row r="298" spans="4:6" x14ac:dyDescent="0.45">
      <c r="D298" s="33"/>
      <c r="E298"/>
      <c r="F298"/>
    </row>
    <row r="299" spans="4:6" x14ac:dyDescent="0.45">
      <c r="D299" s="33"/>
      <c r="E299"/>
      <c r="F299"/>
    </row>
    <row r="300" spans="4:6" x14ac:dyDescent="0.45">
      <c r="D300" s="33"/>
      <c r="E300"/>
      <c r="F300"/>
    </row>
    <row r="301" spans="4:6" x14ac:dyDescent="0.45">
      <c r="D301" s="33"/>
      <c r="E301"/>
      <c r="F301"/>
    </row>
    <row r="302" spans="4:6" x14ac:dyDescent="0.45">
      <c r="D302" s="33"/>
      <c r="E302"/>
      <c r="F302"/>
    </row>
    <row r="303" spans="4:6" x14ac:dyDescent="0.45">
      <c r="D303" s="33"/>
      <c r="E303"/>
      <c r="F303"/>
    </row>
    <row r="304" spans="4:6" x14ac:dyDescent="0.45">
      <c r="D304" s="33"/>
      <c r="E304"/>
      <c r="F304"/>
    </row>
    <row r="305" spans="4:6" x14ac:dyDescent="0.45">
      <c r="D305" s="33"/>
      <c r="E305"/>
      <c r="F305"/>
    </row>
    <row r="306" spans="4:6" x14ac:dyDescent="0.45">
      <c r="D306" s="33"/>
      <c r="E306"/>
      <c r="F306"/>
    </row>
    <row r="307" spans="4:6" x14ac:dyDescent="0.45">
      <c r="D307" s="33"/>
      <c r="E307"/>
      <c r="F307"/>
    </row>
    <row r="308" spans="4:6" x14ac:dyDescent="0.45">
      <c r="D308" s="33"/>
      <c r="E308"/>
      <c r="F308"/>
    </row>
    <row r="309" spans="4:6" x14ac:dyDescent="0.45">
      <c r="D309" s="33"/>
      <c r="E309"/>
      <c r="F309"/>
    </row>
    <row r="310" spans="4:6" x14ac:dyDescent="0.45">
      <c r="D310" s="33"/>
      <c r="E310"/>
      <c r="F310"/>
    </row>
    <row r="311" spans="4:6" x14ac:dyDescent="0.45">
      <c r="D311" s="33"/>
      <c r="E311"/>
      <c r="F311"/>
    </row>
    <row r="312" spans="4:6" x14ac:dyDescent="0.45">
      <c r="D312" s="33"/>
      <c r="E312"/>
      <c r="F312"/>
    </row>
    <row r="313" spans="4:6" x14ac:dyDescent="0.45">
      <c r="D313" s="33"/>
      <c r="E313"/>
      <c r="F313"/>
    </row>
    <row r="314" spans="4:6" x14ac:dyDescent="0.45">
      <c r="D314" s="33"/>
      <c r="E314"/>
      <c r="F314"/>
    </row>
    <row r="315" spans="4:6" x14ac:dyDescent="0.45">
      <c r="D315" s="33"/>
      <c r="E315"/>
      <c r="F315"/>
    </row>
    <row r="316" spans="4:6" x14ac:dyDescent="0.45">
      <c r="D316" s="33"/>
      <c r="E316"/>
      <c r="F316"/>
    </row>
    <row r="317" spans="4:6" x14ac:dyDescent="0.45">
      <c r="D317" s="33"/>
      <c r="E317"/>
      <c r="F317"/>
    </row>
    <row r="318" spans="4:6" x14ac:dyDescent="0.45">
      <c r="D318" s="33"/>
      <c r="E318"/>
      <c r="F318"/>
    </row>
    <row r="319" spans="4:6" x14ac:dyDescent="0.45">
      <c r="D319" s="33"/>
      <c r="E319"/>
      <c r="F319"/>
    </row>
    <row r="320" spans="4:6" x14ac:dyDescent="0.45">
      <c r="D320" s="33"/>
      <c r="E320"/>
      <c r="F320"/>
    </row>
    <row r="321" spans="4:6" x14ac:dyDescent="0.45">
      <c r="D321" s="33"/>
      <c r="E321"/>
      <c r="F321"/>
    </row>
    <row r="322" spans="4:6" x14ac:dyDescent="0.45">
      <c r="D322" s="33"/>
      <c r="E322"/>
      <c r="F322"/>
    </row>
    <row r="323" spans="4:6" x14ac:dyDescent="0.45">
      <c r="D323" s="33"/>
      <c r="E323"/>
      <c r="F323"/>
    </row>
    <row r="324" spans="4:6" x14ac:dyDescent="0.45">
      <c r="D324" s="33"/>
      <c r="E324"/>
      <c r="F324"/>
    </row>
    <row r="325" spans="4:6" x14ac:dyDescent="0.45">
      <c r="D325" s="33"/>
      <c r="E325"/>
      <c r="F325"/>
    </row>
    <row r="326" spans="4:6" x14ac:dyDescent="0.45">
      <c r="D326" s="33"/>
      <c r="E326"/>
      <c r="F326"/>
    </row>
    <row r="327" spans="4:6" x14ac:dyDescent="0.45">
      <c r="D327" s="33"/>
      <c r="E327"/>
      <c r="F327"/>
    </row>
    <row r="328" spans="4:6" x14ac:dyDescent="0.45">
      <c r="D328" s="33"/>
      <c r="E328"/>
      <c r="F328"/>
    </row>
    <row r="329" spans="4:6" x14ac:dyDescent="0.45">
      <c r="D329" s="33"/>
      <c r="E329"/>
      <c r="F329"/>
    </row>
    <row r="330" spans="4:6" x14ac:dyDescent="0.45">
      <c r="D330" s="33"/>
      <c r="E330"/>
      <c r="F330"/>
    </row>
    <row r="331" spans="4:6" x14ac:dyDescent="0.45">
      <c r="D331" s="33"/>
      <c r="E331"/>
      <c r="F331"/>
    </row>
    <row r="332" spans="4:6" x14ac:dyDescent="0.45">
      <c r="D332" s="33"/>
      <c r="E332"/>
      <c r="F332"/>
    </row>
    <row r="333" spans="4:6" x14ac:dyDescent="0.45">
      <c r="D333" s="33"/>
      <c r="E333"/>
      <c r="F333"/>
    </row>
    <row r="334" spans="4:6" x14ac:dyDescent="0.45">
      <c r="D334" s="33"/>
      <c r="E334"/>
      <c r="F334"/>
    </row>
    <row r="335" spans="4:6" x14ac:dyDescent="0.45">
      <c r="D335" s="33"/>
      <c r="E335"/>
      <c r="F335"/>
    </row>
    <row r="336" spans="4:6" x14ac:dyDescent="0.45">
      <c r="D336" s="33"/>
      <c r="E336"/>
      <c r="F336"/>
    </row>
    <row r="337" spans="4:6" x14ac:dyDescent="0.45">
      <c r="D337" s="33"/>
      <c r="E337"/>
      <c r="F337"/>
    </row>
    <row r="338" spans="4:6" x14ac:dyDescent="0.45">
      <c r="D338" s="33"/>
      <c r="E338"/>
      <c r="F338"/>
    </row>
    <row r="339" spans="4:6" x14ac:dyDescent="0.45">
      <c r="D339" s="33"/>
      <c r="E339"/>
      <c r="F339"/>
    </row>
    <row r="340" spans="4:6" x14ac:dyDescent="0.45">
      <c r="D340" s="33"/>
      <c r="E340"/>
      <c r="F340"/>
    </row>
    <row r="341" spans="4:6" x14ac:dyDescent="0.45">
      <c r="D341" s="33"/>
      <c r="E341"/>
      <c r="F341"/>
    </row>
    <row r="342" spans="4:6" x14ac:dyDescent="0.45">
      <c r="D342" s="33"/>
      <c r="E342"/>
      <c r="F342"/>
    </row>
    <row r="343" spans="4:6" x14ac:dyDescent="0.45">
      <c r="D343" s="33"/>
      <c r="E343"/>
      <c r="F343"/>
    </row>
    <row r="344" spans="4:6" x14ac:dyDescent="0.45">
      <c r="D344" s="33"/>
      <c r="E344"/>
      <c r="F344"/>
    </row>
    <row r="345" spans="4:6" x14ac:dyDescent="0.45">
      <c r="D345" s="33"/>
      <c r="E345"/>
      <c r="F345"/>
    </row>
    <row r="346" spans="4:6" x14ac:dyDescent="0.45">
      <c r="D346" s="33"/>
      <c r="E346"/>
      <c r="F346"/>
    </row>
    <row r="347" spans="4:6" x14ac:dyDescent="0.45">
      <c r="D347" s="33"/>
      <c r="E347"/>
      <c r="F347"/>
    </row>
    <row r="348" spans="4:6" x14ac:dyDescent="0.45">
      <c r="D348" s="33"/>
      <c r="E348"/>
      <c r="F348"/>
    </row>
    <row r="349" spans="4:6" x14ac:dyDescent="0.45">
      <c r="D349" s="33"/>
      <c r="E349"/>
      <c r="F349"/>
    </row>
    <row r="350" spans="4:6" x14ac:dyDescent="0.45">
      <c r="D350" s="33"/>
      <c r="E350"/>
      <c r="F350"/>
    </row>
    <row r="351" spans="4:6" x14ac:dyDescent="0.45">
      <c r="D351" s="33"/>
      <c r="E351"/>
      <c r="F351"/>
    </row>
    <row r="352" spans="4:6" x14ac:dyDescent="0.45">
      <c r="D352" s="33"/>
      <c r="E352"/>
      <c r="F352"/>
    </row>
    <row r="353" spans="4:6" x14ac:dyDescent="0.45">
      <c r="D353" s="33"/>
      <c r="E353"/>
      <c r="F353"/>
    </row>
    <row r="354" spans="4:6" x14ac:dyDescent="0.45">
      <c r="D354" s="33"/>
      <c r="E354"/>
      <c r="F354"/>
    </row>
    <row r="355" spans="4:6" x14ac:dyDescent="0.45">
      <c r="D355" s="33"/>
      <c r="E355"/>
      <c r="F355"/>
    </row>
    <row r="356" spans="4:6" x14ac:dyDescent="0.45">
      <c r="D356" s="33"/>
      <c r="E356"/>
      <c r="F356"/>
    </row>
    <row r="357" spans="4:6" x14ac:dyDescent="0.45">
      <c r="D357" s="33"/>
      <c r="E357"/>
      <c r="F357"/>
    </row>
    <row r="358" spans="4:6" x14ac:dyDescent="0.45">
      <c r="D358" s="33"/>
      <c r="E358"/>
      <c r="F358"/>
    </row>
    <row r="359" spans="4:6" x14ac:dyDescent="0.45">
      <c r="D359" s="33"/>
      <c r="E359"/>
      <c r="F359"/>
    </row>
    <row r="360" spans="4:6" x14ac:dyDescent="0.45">
      <c r="D360" s="33"/>
      <c r="E360"/>
      <c r="F360"/>
    </row>
    <row r="361" spans="4:6" x14ac:dyDescent="0.45">
      <c r="D361" s="33"/>
      <c r="E361"/>
      <c r="F361"/>
    </row>
    <row r="362" spans="4:6" x14ac:dyDescent="0.45">
      <c r="D362" s="33"/>
      <c r="E362"/>
      <c r="F362"/>
    </row>
    <row r="363" spans="4:6" x14ac:dyDescent="0.45">
      <c r="D363" s="33"/>
      <c r="E363"/>
      <c r="F363"/>
    </row>
    <row r="364" spans="4:6" x14ac:dyDescent="0.45">
      <c r="D364" s="33"/>
      <c r="E364"/>
      <c r="F364"/>
    </row>
    <row r="365" spans="4:6" x14ac:dyDescent="0.45">
      <c r="D365" s="33"/>
      <c r="E365"/>
      <c r="F365"/>
    </row>
    <row r="366" spans="4:6" x14ac:dyDescent="0.45">
      <c r="D366" s="33"/>
      <c r="E366"/>
      <c r="F366"/>
    </row>
    <row r="367" spans="4:6" x14ac:dyDescent="0.45">
      <c r="D367" s="33"/>
      <c r="E367"/>
      <c r="F367"/>
    </row>
    <row r="368" spans="4:6" x14ac:dyDescent="0.45">
      <c r="D368" s="33"/>
      <c r="E368"/>
      <c r="F368"/>
    </row>
    <row r="369" spans="4:6" x14ac:dyDescent="0.45">
      <c r="D369" s="33"/>
      <c r="E369"/>
      <c r="F369"/>
    </row>
    <row r="370" spans="4:6" x14ac:dyDescent="0.45">
      <c r="D370" s="33"/>
      <c r="E370"/>
      <c r="F370"/>
    </row>
    <row r="371" spans="4:6" x14ac:dyDescent="0.45">
      <c r="D371" s="33"/>
      <c r="E371"/>
      <c r="F371"/>
    </row>
    <row r="372" spans="4:6" x14ac:dyDescent="0.45">
      <c r="D372" s="33"/>
      <c r="E372"/>
      <c r="F372"/>
    </row>
    <row r="373" spans="4:6" x14ac:dyDescent="0.45">
      <c r="D373" s="33"/>
      <c r="E373"/>
      <c r="F373"/>
    </row>
    <row r="374" spans="4:6" x14ac:dyDescent="0.45">
      <c r="D374" s="33"/>
      <c r="E374"/>
      <c r="F374"/>
    </row>
    <row r="375" spans="4:6" x14ac:dyDescent="0.45">
      <c r="D375" s="33"/>
      <c r="E375"/>
      <c r="F375"/>
    </row>
    <row r="376" spans="4:6" x14ac:dyDescent="0.45">
      <c r="D376" s="33"/>
      <c r="E376"/>
      <c r="F376"/>
    </row>
    <row r="377" spans="4:6" x14ac:dyDescent="0.45">
      <c r="D377" s="33"/>
      <c r="E377"/>
      <c r="F377"/>
    </row>
    <row r="378" spans="4:6" x14ac:dyDescent="0.45">
      <c r="D378" s="33"/>
      <c r="E378"/>
      <c r="F378"/>
    </row>
    <row r="379" spans="4:6" x14ac:dyDescent="0.45">
      <c r="D379" s="33"/>
      <c r="E379"/>
      <c r="F379"/>
    </row>
    <row r="380" spans="4:6" x14ac:dyDescent="0.45">
      <c r="D380" s="33"/>
      <c r="E380"/>
      <c r="F380"/>
    </row>
    <row r="381" spans="4:6" x14ac:dyDescent="0.45">
      <c r="D381" s="33"/>
      <c r="E381"/>
      <c r="F381"/>
    </row>
    <row r="382" spans="4:6" x14ac:dyDescent="0.45">
      <c r="D382" s="33"/>
      <c r="E382"/>
      <c r="F382"/>
    </row>
    <row r="383" spans="4:6" x14ac:dyDescent="0.45">
      <c r="D383" s="33"/>
      <c r="E383"/>
      <c r="F383"/>
    </row>
    <row r="384" spans="4:6" x14ac:dyDescent="0.45">
      <c r="D384" s="33"/>
      <c r="E384"/>
      <c r="F384"/>
    </row>
    <row r="385" spans="4:6" x14ac:dyDescent="0.45">
      <c r="D385" s="33"/>
      <c r="E385"/>
      <c r="F385"/>
    </row>
    <row r="386" spans="4:6" x14ac:dyDescent="0.45">
      <c r="D386" s="33"/>
      <c r="E386"/>
      <c r="F386"/>
    </row>
    <row r="387" spans="4:6" x14ac:dyDescent="0.45">
      <c r="D387" s="33"/>
      <c r="E387"/>
      <c r="F387"/>
    </row>
    <row r="388" spans="4:6" x14ac:dyDescent="0.45">
      <c r="D388" s="33"/>
      <c r="E388"/>
      <c r="F388"/>
    </row>
    <row r="389" spans="4:6" x14ac:dyDescent="0.45">
      <c r="D389" s="33"/>
      <c r="E389"/>
      <c r="F389"/>
    </row>
    <row r="390" spans="4:6" x14ac:dyDescent="0.45">
      <c r="D390" s="33"/>
      <c r="E390"/>
      <c r="F390"/>
    </row>
    <row r="391" spans="4:6" x14ac:dyDescent="0.45">
      <c r="D391" s="33"/>
      <c r="E391"/>
      <c r="F391"/>
    </row>
    <row r="392" spans="4:6" x14ac:dyDescent="0.45">
      <c r="D392" s="33"/>
      <c r="E392"/>
      <c r="F392"/>
    </row>
    <row r="393" spans="4:6" x14ac:dyDescent="0.45">
      <c r="D393" s="33"/>
      <c r="E393"/>
      <c r="F393"/>
    </row>
    <row r="394" spans="4:6" x14ac:dyDescent="0.45">
      <c r="D394" s="33"/>
      <c r="E394"/>
      <c r="F394"/>
    </row>
    <row r="395" spans="4:6" x14ac:dyDescent="0.45">
      <c r="D395" s="33"/>
      <c r="E395"/>
      <c r="F395"/>
    </row>
    <row r="396" spans="4:6" x14ac:dyDescent="0.45">
      <c r="D396" s="33"/>
      <c r="E396"/>
      <c r="F396"/>
    </row>
    <row r="397" spans="4:6" x14ac:dyDescent="0.45">
      <c r="D397" s="33"/>
      <c r="E397"/>
      <c r="F397"/>
    </row>
    <row r="398" spans="4:6" x14ac:dyDescent="0.45">
      <c r="D398" s="33"/>
      <c r="E398"/>
      <c r="F398"/>
    </row>
    <row r="399" spans="4:6" x14ac:dyDescent="0.45">
      <c r="D399" s="33"/>
      <c r="E399"/>
      <c r="F399"/>
    </row>
    <row r="400" spans="4:6" x14ac:dyDescent="0.45">
      <c r="D400" s="33"/>
      <c r="E400"/>
      <c r="F400"/>
    </row>
    <row r="401" spans="4:6" x14ac:dyDescent="0.45">
      <c r="D401" s="33"/>
      <c r="E401"/>
      <c r="F401"/>
    </row>
    <row r="402" spans="4:6" x14ac:dyDescent="0.45">
      <c r="D402" s="33"/>
      <c r="E402"/>
      <c r="F402"/>
    </row>
    <row r="403" spans="4:6" x14ac:dyDescent="0.45">
      <c r="D403" s="33"/>
      <c r="E403"/>
      <c r="F403"/>
    </row>
    <row r="404" spans="4:6" x14ac:dyDescent="0.45">
      <c r="D404" s="33"/>
      <c r="E404"/>
      <c r="F404"/>
    </row>
    <row r="405" spans="4:6" x14ac:dyDescent="0.45">
      <c r="D405" s="33"/>
      <c r="E405"/>
      <c r="F405"/>
    </row>
    <row r="406" spans="4:6" x14ac:dyDescent="0.45">
      <c r="D406" s="33"/>
      <c r="E406"/>
      <c r="F406"/>
    </row>
    <row r="407" spans="4:6" x14ac:dyDescent="0.45">
      <c r="D407" s="33"/>
      <c r="E407"/>
      <c r="F407"/>
    </row>
    <row r="408" spans="4:6" x14ac:dyDescent="0.45">
      <c r="D408" s="33"/>
      <c r="E408"/>
      <c r="F408"/>
    </row>
    <row r="409" spans="4:6" x14ac:dyDescent="0.45">
      <c r="D409" s="33"/>
      <c r="E409"/>
      <c r="F409"/>
    </row>
    <row r="410" spans="4:6" x14ac:dyDescent="0.45">
      <c r="D410" s="33"/>
      <c r="E410"/>
      <c r="F410"/>
    </row>
    <row r="411" spans="4:6" x14ac:dyDescent="0.45">
      <c r="D411" s="33"/>
      <c r="E411"/>
      <c r="F411"/>
    </row>
    <row r="412" spans="4:6" x14ac:dyDescent="0.45">
      <c r="D412" s="33"/>
      <c r="E412"/>
      <c r="F412"/>
    </row>
    <row r="413" spans="4:6" x14ac:dyDescent="0.45">
      <c r="D413" s="33"/>
      <c r="E413"/>
      <c r="F413"/>
    </row>
    <row r="414" spans="4:6" x14ac:dyDescent="0.45">
      <c r="D414" s="33"/>
      <c r="E414"/>
      <c r="F414"/>
    </row>
    <row r="415" spans="4:6" x14ac:dyDescent="0.45">
      <c r="D415" s="33"/>
      <c r="E415"/>
      <c r="F415"/>
    </row>
    <row r="416" spans="4:6" x14ac:dyDescent="0.45">
      <c r="D416" s="33"/>
      <c r="E416"/>
      <c r="F416"/>
    </row>
    <row r="417" spans="4:6" x14ac:dyDescent="0.45">
      <c r="D417" s="33"/>
      <c r="E417"/>
      <c r="F417"/>
    </row>
    <row r="418" spans="4:6" x14ac:dyDescent="0.45">
      <c r="D418" s="33"/>
      <c r="E418"/>
      <c r="F418"/>
    </row>
    <row r="419" spans="4:6" x14ac:dyDescent="0.45">
      <c r="D419" s="33"/>
      <c r="E419"/>
      <c r="F419"/>
    </row>
    <row r="420" spans="4:6" x14ac:dyDescent="0.45">
      <c r="D420" s="33"/>
      <c r="E420"/>
      <c r="F420"/>
    </row>
    <row r="421" spans="4:6" x14ac:dyDescent="0.45">
      <c r="D421" s="33"/>
      <c r="E421"/>
      <c r="F421"/>
    </row>
    <row r="422" spans="4:6" x14ac:dyDescent="0.45">
      <c r="D422" s="33"/>
      <c r="E422"/>
      <c r="F422"/>
    </row>
    <row r="423" spans="4:6" x14ac:dyDescent="0.45">
      <c r="D423" s="33"/>
      <c r="E423"/>
      <c r="F423"/>
    </row>
    <row r="424" spans="4:6" x14ac:dyDescent="0.45">
      <c r="D424" s="33"/>
      <c r="E424"/>
      <c r="F424"/>
    </row>
    <row r="425" spans="4:6" x14ac:dyDescent="0.45">
      <c r="D425" s="33"/>
      <c r="E425"/>
      <c r="F425"/>
    </row>
    <row r="426" spans="4:6" x14ac:dyDescent="0.45">
      <c r="D426" s="33"/>
      <c r="E426"/>
      <c r="F426"/>
    </row>
    <row r="427" spans="4:6" x14ac:dyDescent="0.45">
      <c r="D427" s="33"/>
      <c r="E427"/>
      <c r="F427"/>
    </row>
    <row r="428" spans="4:6" x14ac:dyDescent="0.45">
      <c r="D428" s="33"/>
      <c r="E428"/>
      <c r="F428"/>
    </row>
    <row r="429" spans="4:6" x14ac:dyDescent="0.45">
      <c r="D429" s="33"/>
      <c r="E429"/>
      <c r="F429"/>
    </row>
    <row r="430" spans="4:6" x14ac:dyDescent="0.45">
      <c r="D430" s="33"/>
      <c r="E430"/>
      <c r="F430"/>
    </row>
    <row r="431" spans="4:6" x14ac:dyDescent="0.45">
      <c r="D431" s="33"/>
      <c r="E431"/>
      <c r="F431"/>
    </row>
    <row r="432" spans="4:6" x14ac:dyDescent="0.45">
      <c r="D432" s="33"/>
      <c r="E432"/>
      <c r="F432"/>
    </row>
    <row r="433" spans="4:6" x14ac:dyDescent="0.45">
      <c r="D433" s="33"/>
      <c r="E433"/>
      <c r="F433"/>
    </row>
    <row r="434" spans="4:6" x14ac:dyDescent="0.45">
      <c r="D434" s="33"/>
      <c r="E434"/>
      <c r="F434"/>
    </row>
    <row r="435" spans="4:6" x14ac:dyDescent="0.45">
      <c r="D435" s="33"/>
      <c r="E435"/>
      <c r="F435"/>
    </row>
    <row r="436" spans="4:6" x14ac:dyDescent="0.45">
      <c r="D436" s="33"/>
      <c r="E436"/>
      <c r="F436"/>
    </row>
    <row r="437" spans="4:6" x14ac:dyDescent="0.45">
      <c r="D437" s="33"/>
      <c r="E437"/>
      <c r="F437"/>
    </row>
    <row r="438" spans="4:6" x14ac:dyDescent="0.45">
      <c r="D438" s="33"/>
      <c r="E438"/>
      <c r="F438"/>
    </row>
    <row r="439" spans="4:6" x14ac:dyDescent="0.45">
      <c r="D439" s="33"/>
      <c r="E439"/>
      <c r="F439"/>
    </row>
    <row r="440" spans="4:6" x14ac:dyDescent="0.45">
      <c r="D440" s="33"/>
      <c r="E440"/>
      <c r="F440"/>
    </row>
    <row r="441" spans="4:6" x14ac:dyDescent="0.45">
      <c r="D441" s="33"/>
      <c r="E441"/>
      <c r="F441"/>
    </row>
    <row r="442" spans="4:6" x14ac:dyDescent="0.45">
      <c r="D442" s="33"/>
      <c r="E442"/>
      <c r="F442"/>
    </row>
    <row r="443" spans="4:6" x14ac:dyDescent="0.45">
      <c r="D443" s="33"/>
      <c r="E443"/>
      <c r="F443"/>
    </row>
    <row r="444" spans="4:6" x14ac:dyDescent="0.45">
      <c r="D444" s="33"/>
      <c r="E444"/>
      <c r="F444"/>
    </row>
    <row r="445" spans="4:6" x14ac:dyDescent="0.45">
      <c r="D445" s="33"/>
      <c r="E445"/>
      <c r="F445"/>
    </row>
    <row r="446" spans="4:6" x14ac:dyDescent="0.45">
      <c r="D446" s="33"/>
      <c r="E446"/>
      <c r="F446"/>
    </row>
    <row r="447" spans="4:6" x14ac:dyDescent="0.45">
      <c r="D447" s="33"/>
      <c r="E447"/>
      <c r="F447"/>
    </row>
    <row r="448" spans="4:6" x14ac:dyDescent="0.45">
      <c r="D448" s="33"/>
      <c r="E448"/>
      <c r="F448"/>
    </row>
    <row r="449" spans="4:6" x14ac:dyDescent="0.45">
      <c r="D449" s="33"/>
      <c r="E449"/>
      <c r="F449"/>
    </row>
    <row r="450" spans="4:6" x14ac:dyDescent="0.45">
      <c r="D450" s="33"/>
      <c r="E450"/>
      <c r="F450"/>
    </row>
    <row r="451" spans="4:6" x14ac:dyDescent="0.45">
      <c r="D451" s="33"/>
      <c r="E451"/>
      <c r="F451"/>
    </row>
    <row r="452" spans="4:6" x14ac:dyDescent="0.45">
      <c r="D452" s="33"/>
      <c r="E452"/>
      <c r="F452"/>
    </row>
    <row r="453" spans="4:6" x14ac:dyDescent="0.45">
      <c r="D453" s="33"/>
      <c r="E453"/>
      <c r="F453"/>
    </row>
    <row r="454" spans="4:6" x14ac:dyDescent="0.45">
      <c r="D454" s="33"/>
      <c r="E454"/>
      <c r="F454"/>
    </row>
    <row r="455" spans="4:6" x14ac:dyDescent="0.45">
      <c r="D455" s="33"/>
      <c r="E455"/>
      <c r="F455"/>
    </row>
    <row r="456" spans="4:6" x14ac:dyDescent="0.45">
      <c r="D456" s="33"/>
      <c r="E456"/>
      <c r="F456"/>
    </row>
    <row r="457" spans="4:6" x14ac:dyDescent="0.45">
      <c r="D457" s="33"/>
      <c r="E457"/>
      <c r="F457"/>
    </row>
    <row r="458" spans="4:6" x14ac:dyDescent="0.45">
      <c r="D458" s="33"/>
      <c r="E458"/>
      <c r="F458"/>
    </row>
    <row r="459" spans="4:6" x14ac:dyDescent="0.45">
      <c r="D459" s="33"/>
      <c r="E459"/>
      <c r="F459"/>
    </row>
    <row r="460" spans="4:6" x14ac:dyDescent="0.45">
      <c r="D460" s="33"/>
      <c r="E460"/>
      <c r="F460"/>
    </row>
    <row r="461" spans="4:6" x14ac:dyDescent="0.45">
      <c r="D461" s="33"/>
      <c r="E461"/>
      <c r="F461"/>
    </row>
    <row r="462" spans="4:6" x14ac:dyDescent="0.45">
      <c r="D462" s="33"/>
      <c r="E462"/>
      <c r="F462"/>
    </row>
    <row r="463" spans="4:6" x14ac:dyDescent="0.45">
      <c r="D463" s="33"/>
      <c r="E463"/>
      <c r="F463"/>
    </row>
    <row r="464" spans="4:6" x14ac:dyDescent="0.45">
      <c r="D464" s="33"/>
      <c r="E464"/>
      <c r="F464"/>
    </row>
    <row r="465" spans="4:6" x14ac:dyDescent="0.45">
      <c r="D465" s="33"/>
      <c r="E465"/>
      <c r="F465"/>
    </row>
    <row r="466" spans="4:6" x14ac:dyDescent="0.45">
      <c r="D466" s="33"/>
      <c r="E466"/>
      <c r="F466"/>
    </row>
    <row r="467" spans="4:6" x14ac:dyDescent="0.45">
      <c r="D467" s="33"/>
      <c r="E467"/>
      <c r="F467"/>
    </row>
    <row r="468" spans="4:6" x14ac:dyDescent="0.45">
      <c r="D468" s="33"/>
      <c r="E468"/>
      <c r="F468"/>
    </row>
    <row r="469" spans="4:6" x14ac:dyDescent="0.45">
      <c r="D469" s="33"/>
      <c r="E469"/>
      <c r="F469"/>
    </row>
    <row r="470" spans="4:6" x14ac:dyDescent="0.45">
      <c r="D470" s="33"/>
      <c r="E470"/>
      <c r="F470"/>
    </row>
    <row r="471" spans="4:6" x14ac:dyDescent="0.45">
      <c r="D471" s="33"/>
      <c r="E471"/>
      <c r="F471"/>
    </row>
    <row r="472" spans="4:6" x14ac:dyDescent="0.45">
      <c r="D472" s="33"/>
      <c r="E472"/>
      <c r="F472"/>
    </row>
    <row r="473" spans="4:6" x14ac:dyDescent="0.45">
      <c r="D473" s="33"/>
      <c r="E473"/>
      <c r="F473"/>
    </row>
    <row r="474" spans="4:6" x14ac:dyDescent="0.45">
      <c r="D474" s="33"/>
      <c r="E474"/>
      <c r="F474"/>
    </row>
    <row r="475" spans="4:6" x14ac:dyDescent="0.45">
      <c r="D475" s="33"/>
      <c r="E475"/>
      <c r="F475"/>
    </row>
    <row r="476" spans="4:6" x14ac:dyDescent="0.45">
      <c r="D476" s="33"/>
      <c r="E476"/>
      <c r="F476"/>
    </row>
    <row r="477" spans="4:6" x14ac:dyDescent="0.45">
      <c r="D477" s="33"/>
      <c r="E477"/>
      <c r="F477"/>
    </row>
    <row r="478" spans="4:6" x14ac:dyDescent="0.45">
      <c r="D478" s="33"/>
      <c r="E478"/>
      <c r="F478"/>
    </row>
    <row r="479" spans="4:6" x14ac:dyDescent="0.45">
      <c r="D479" s="33"/>
      <c r="E479"/>
      <c r="F479"/>
    </row>
    <row r="480" spans="4:6" x14ac:dyDescent="0.45">
      <c r="D480" s="33"/>
      <c r="E480"/>
      <c r="F480"/>
    </row>
    <row r="481" spans="4:6" x14ac:dyDescent="0.45">
      <c r="D481" s="33"/>
      <c r="E481"/>
      <c r="F481"/>
    </row>
    <row r="482" spans="4:6" x14ac:dyDescent="0.45">
      <c r="D482" s="33"/>
      <c r="E482"/>
      <c r="F482"/>
    </row>
    <row r="483" spans="4:6" x14ac:dyDescent="0.45">
      <c r="D483" s="33"/>
      <c r="E483"/>
      <c r="F483"/>
    </row>
    <row r="484" spans="4:6" x14ac:dyDescent="0.45">
      <c r="D484" s="33"/>
      <c r="E484"/>
      <c r="F484"/>
    </row>
    <row r="485" spans="4:6" x14ac:dyDescent="0.45">
      <c r="D485" s="33"/>
      <c r="E485"/>
      <c r="F485"/>
    </row>
    <row r="486" spans="4:6" x14ac:dyDescent="0.45">
      <c r="D486" s="33"/>
      <c r="E486"/>
      <c r="F486"/>
    </row>
    <row r="487" spans="4:6" x14ac:dyDescent="0.45">
      <c r="D487" s="33"/>
      <c r="E487"/>
      <c r="F487"/>
    </row>
    <row r="488" spans="4:6" x14ac:dyDescent="0.45">
      <c r="D488" s="33"/>
      <c r="E488"/>
      <c r="F488"/>
    </row>
    <row r="489" spans="4:6" x14ac:dyDescent="0.45">
      <c r="D489" s="33"/>
      <c r="E489"/>
      <c r="F489"/>
    </row>
    <row r="490" spans="4:6" x14ac:dyDescent="0.45">
      <c r="D490" s="33"/>
      <c r="E490"/>
      <c r="F490"/>
    </row>
    <row r="491" spans="4:6" x14ac:dyDescent="0.45">
      <c r="D491" s="33"/>
      <c r="E491"/>
      <c r="F491"/>
    </row>
    <row r="492" spans="4:6" x14ac:dyDescent="0.45">
      <c r="D492" s="33"/>
      <c r="E492"/>
      <c r="F492"/>
    </row>
    <row r="493" spans="4:6" x14ac:dyDescent="0.45">
      <c r="D493" s="33"/>
      <c r="E493"/>
      <c r="F493"/>
    </row>
    <row r="494" spans="4:6" x14ac:dyDescent="0.45">
      <c r="D494" s="33"/>
      <c r="E494"/>
      <c r="F494"/>
    </row>
    <row r="495" spans="4:6" x14ac:dyDescent="0.45">
      <c r="D495" s="33"/>
      <c r="E495"/>
      <c r="F495"/>
    </row>
    <row r="496" spans="4:6" x14ac:dyDescent="0.45">
      <c r="D496" s="33"/>
      <c r="E496"/>
      <c r="F496"/>
    </row>
    <row r="497" spans="4:6" x14ac:dyDescent="0.45">
      <c r="D497" s="33"/>
      <c r="E497"/>
      <c r="F497"/>
    </row>
    <row r="498" spans="4:6" x14ac:dyDescent="0.45">
      <c r="D498" s="33"/>
      <c r="E498"/>
      <c r="F498"/>
    </row>
    <row r="499" spans="4:6" x14ac:dyDescent="0.45">
      <c r="D499" s="33"/>
      <c r="E499"/>
      <c r="F499"/>
    </row>
    <row r="500" spans="4:6" x14ac:dyDescent="0.45">
      <c r="D500" s="33"/>
      <c r="E500"/>
      <c r="F500"/>
    </row>
    <row r="501" spans="4:6" x14ac:dyDescent="0.45">
      <c r="D501" s="33"/>
      <c r="E501"/>
      <c r="F501"/>
    </row>
    <row r="502" spans="4:6" x14ac:dyDescent="0.45">
      <c r="D502" s="33"/>
      <c r="E502"/>
      <c r="F502"/>
    </row>
    <row r="503" spans="4:6" x14ac:dyDescent="0.45">
      <c r="D503" s="33"/>
      <c r="E503"/>
      <c r="F503"/>
    </row>
    <row r="504" spans="4:6" x14ac:dyDescent="0.45">
      <c r="D504" s="33"/>
      <c r="E504"/>
      <c r="F504"/>
    </row>
    <row r="505" spans="4:6" x14ac:dyDescent="0.45">
      <c r="D505" s="33"/>
      <c r="E505"/>
      <c r="F505"/>
    </row>
    <row r="506" spans="4:6" x14ac:dyDescent="0.45">
      <c r="D506" s="33"/>
      <c r="E506"/>
      <c r="F506"/>
    </row>
    <row r="507" spans="4:6" x14ac:dyDescent="0.45">
      <c r="D507" s="33"/>
      <c r="E507"/>
      <c r="F507"/>
    </row>
    <row r="508" spans="4:6" x14ac:dyDescent="0.45">
      <c r="D508" s="33"/>
      <c r="E508"/>
      <c r="F508"/>
    </row>
    <row r="509" spans="4:6" x14ac:dyDescent="0.45">
      <c r="D509" s="33"/>
      <c r="E509"/>
      <c r="F509"/>
    </row>
    <row r="510" spans="4:6" x14ac:dyDescent="0.45">
      <c r="D510" s="33"/>
      <c r="E510"/>
      <c r="F510"/>
    </row>
    <row r="511" spans="4:6" x14ac:dyDescent="0.45">
      <c r="D511" s="33"/>
      <c r="E511"/>
      <c r="F511"/>
    </row>
    <row r="512" spans="4:6" x14ac:dyDescent="0.45">
      <c r="D512" s="33"/>
      <c r="E512"/>
      <c r="F512"/>
    </row>
    <row r="513" spans="4:6" x14ac:dyDescent="0.45">
      <c r="D513" s="33"/>
      <c r="E513"/>
      <c r="F513"/>
    </row>
    <row r="514" spans="4:6" x14ac:dyDescent="0.45">
      <c r="D514" s="33"/>
      <c r="E514"/>
      <c r="F514"/>
    </row>
    <row r="515" spans="4:6" x14ac:dyDescent="0.45">
      <c r="D515" s="33"/>
      <c r="E515"/>
      <c r="F515"/>
    </row>
    <row r="516" spans="4:6" x14ac:dyDescent="0.45">
      <c r="D516" s="33"/>
      <c r="E516"/>
      <c r="F516"/>
    </row>
    <row r="517" spans="4:6" x14ac:dyDescent="0.45">
      <c r="D517" s="33"/>
      <c r="E517"/>
      <c r="F517"/>
    </row>
    <row r="518" spans="4:6" x14ac:dyDescent="0.45">
      <c r="D518" s="33"/>
      <c r="E518"/>
      <c r="F518"/>
    </row>
    <row r="519" spans="4:6" x14ac:dyDescent="0.45">
      <c r="D519" s="33"/>
      <c r="E519"/>
      <c r="F519"/>
    </row>
    <row r="520" spans="4:6" x14ac:dyDescent="0.45">
      <c r="D520" s="33"/>
      <c r="E520"/>
      <c r="F520"/>
    </row>
    <row r="521" spans="4:6" x14ac:dyDescent="0.45">
      <c r="D521" s="33"/>
      <c r="E521"/>
      <c r="F521"/>
    </row>
    <row r="522" spans="4:6" x14ac:dyDescent="0.45">
      <c r="D522" s="33"/>
      <c r="E522"/>
      <c r="F522"/>
    </row>
    <row r="523" spans="4:6" x14ac:dyDescent="0.45">
      <c r="D523" s="33"/>
      <c r="E523"/>
      <c r="F523"/>
    </row>
    <row r="524" spans="4:6" x14ac:dyDescent="0.45">
      <c r="D524" s="33"/>
      <c r="E524"/>
      <c r="F524"/>
    </row>
    <row r="525" spans="4:6" x14ac:dyDescent="0.45">
      <c r="D525" s="33"/>
      <c r="E525"/>
      <c r="F525"/>
    </row>
    <row r="526" spans="4:6" x14ac:dyDescent="0.45">
      <c r="D526" s="33"/>
      <c r="E526"/>
      <c r="F526"/>
    </row>
    <row r="527" spans="4:6" x14ac:dyDescent="0.45">
      <c r="D527" s="33"/>
      <c r="E527"/>
      <c r="F527"/>
    </row>
    <row r="528" spans="4:6" x14ac:dyDescent="0.45">
      <c r="D528" s="33"/>
      <c r="E528"/>
      <c r="F528"/>
    </row>
    <row r="529" spans="4:6" x14ac:dyDescent="0.45">
      <c r="D529" s="33"/>
      <c r="E529"/>
      <c r="F529"/>
    </row>
    <row r="530" spans="4:6" x14ac:dyDescent="0.45">
      <c r="D530" s="33"/>
      <c r="E530"/>
      <c r="F530"/>
    </row>
    <row r="531" spans="4:6" x14ac:dyDescent="0.45">
      <c r="D531" s="33"/>
      <c r="E531"/>
      <c r="F531"/>
    </row>
    <row r="532" spans="4:6" x14ac:dyDescent="0.45">
      <c r="D532" s="33"/>
      <c r="E532"/>
      <c r="F532"/>
    </row>
    <row r="533" spans="4:6" x14ac:dyDescent="0.45">
      <c r="D533" s="33"/>
      <c r="E533"/>
      <c r="F533"/>
    </row>
    <row r="534" spans="4:6" x14ac:dyDescent="0.45">
      <c r="D534" s="33"/>
      <c r="E534"/>
      <c r="F534"/>
    </row>
    <row r="535" spans="4:6" x14ac:dyDescent="0.45">
      <c r="D535" s="33"/>
      <c r="E535"/>
      <c r="F535"/>
    </row>
    <row r="536" spans="4:6" x14ac:dyDescent="0.45">
      <c r="D536" s="33"/>
      <c r="E536"/>
      <c r="F536"/>
    </row>
    <row r="537" spans="4:6" x14ac:dyDescent="0.45">
      <c r="D537" s="33"/>
      <c r="E537"/>
      <c r="F537"/>
    </row>
    <row r="538" spans="4:6" x14ac:dyDescent="0.45">
      <c r="D538" s="33"/>
      <c r="E538"/>
      <c r="F538"/>
    </row>
    <row r="539" spans="4:6" x14ac:dyDescent="0.45">
      <c r="D539" s="33"/>
      <c r="E539"/>
      <c r="F539"/>
    </row>
    <row r="540" spans="4:6" x14ac:dyDescent="0.45">
      <c r="D540" s="33"/>
      <c r="E540"/>
      <c r="F540"/>
    </row>
    <row r="541" spans="4:6" x14ac:dyDescent="0.45">
      <c r="D541" s="33"/>
      <c r="E541"/>
      <c r="F541"/>
    </row>
    <row r="542" spans="4:6" x14ac:dyDescent="0.45">
      <c r="D542" s="33"/>
      <c r="E542"/>
      <c r="F542"/>
    </row>
    <row r="543" spans="4:6" x14ac:dyDescent="0.45">
      <c r="D543" s="33"/>
      <c r="E543"/>
      <c r="F543"/>
    </row>
    <row r="544" spans="4:6" x14ac:dyDescent="0.45">
      <c r="D544" s="33"/>
      <c r="E544"/>
      <c r="F544"/>
    </row>
    <row r="545" spans="4:6" x14ac:dyDescent="0.45">
      <c r="D545" s="33"/>
      <c r="E545"/>
      <c r="F545"/>
    </row>
    <row r="546" spans="4:6" x14ac:dyDescent="0.45">
      <c r="D546" s="33"/>
      <c r="E546"/>
      <c r="F546"/>
    </row>
    <row r="547" spans="4:6" x14ac:dyDescent="0.45">
      <c r="D547" s="33"/>
      <c r="E547"/>
      <c r="F547"/>
    </row>
    <row r="548" spans="4:6" x14ac:dyDescent="0.45">
      <c r="D548" s="33"/>
      <c r="E548"/>
      <c r="F548"/>
    </row>
    <row r="549" spans="4:6" x14ac:dyDescent="0.45">
      <c r="D549" s="33"/>
      <c r="E549"/>
      <c r="F549"/>
    </row>
    <row r="550" spans="4:6" x14ac:dyDescent="0.45">
      <c r="D550" s="33"/>
      <c r="E550"/>
      <c r="F550"/>
    </row>
    <row r="551" spans="4:6" x14ac:dyDescent="0.45">
      <c r="D551" s="33"/>
      <c r="E551"/>
      <c r="F551"/>
    </row>
    <row r="552" spans="4:6" x14ac:dyDescent="0.45">
      <c r="D552" s="33"/>
      <c r="E552"/>
      <c r="F552"/>
    </row>
    <row r="553" spans="4:6" x14ac:dyDescent="0.45">
      <c r="D553" s="33"/>
      <c r="E553"/>
      <c r="F553"/>
    </row>
    <row r="554" spans="4:6" x14ac:dyDescent="0.45">
      <c r="D554" s="33"/>
      <c r="E554"/>
      <c r="F554"/>
    </row>
    <row r="555" spans="4:6" x14ac:dyDescent="0.45">
      <c r="D555" s="33"/>
      <c r="E555"/>
      <c r="F555"/>
    </row>
    <row r="556" spans="4:6" x14ac:dyDescent="0.45">
      <c r="D556" s="33"/>
      <c r="E556"/>
      <c r="F556"/>
    </row>
    <row r="557" spans="4:6" x14ac:dyDescent="0.45">
      <c r="D557" s="33"/>
      <c r="E557"/>
      <c r="F557"/>
    </row>
    <row r="558" spans="4:6" x14ac:dyDescent="0.45">
      <c r="D558" s="33"/>
      <c r="E558"/>
      <c r="F558"/>
    </row>
    <row r="559" spans="4:6" x14ac:dyDescent="0.45">
      <c r="D559" s="33"/>
      <c r="E559"/>
      <c r="F559"/>
    </row>
    <row r="560" spans="4:6" x14ac:dyDescent="0.45">
      <c r="D560" s="33"/>
      <c r="E560"/>
      <c r="F560"/>
    </row>
    <row r="561" spans="4:6" x14ac:dyDescent="0.45">
      <c r="D561" s="33"/>
      <c r="E561"/>
      <c r="F561"/>
    </row>
    <row r="562" spans="4:6" x14ac:dyDescent="0.45">
      <c r="D562" s="33"/>
      <c r="E562"/>
      <c r="F562"/>
    </row>
    <row r="563" spans="4:6" x14ac:dyDescent="0.45">
      <c r="D563" s="33"/>
      <c r="E563"/>
      <c r="F563"/>
    </row>
    <row r="564" spans="4:6" x14ac:dyDescent="0.45">
      <c r="D564" s="33"/>
      <c r="E564"/>
      <c r="F564"/>
    </row>
    <row r="565" spans="4:6" x14ac:dyDescent="0.45">
      <c r="D565" s="33"/>
      <c r="E565"/>
      <c r="F565"/>
    </row>
    <row r="566" spans="4:6" x14ac:dyDescent="0.45">
      <c r="D566" s="33"/>
      <c r="E566"/>
      <c r="F566"/>
    </row>
    <row r="567" spans="4:6" x14ac:dyDescent="0.45">
      <c r="D567" s="33"/>
      <c r="E567"/>
      <c r="F567"/>
    </row>
    <row r="568" spans="4:6" x14ac:dyDescent="0.45">
      <c r="D568" s="33"/>
      <c r="E568"/>
      <c r="F568"/>
    </row>
    <row r="569" spans="4:6" x14ac:dyDescent="0.45">
      <c r="D569" s="33"/>
      <c r="E569"/>
      <c r="F569"/>
    </row>
    <row r="570" spans="4:6" x14ac:dyDescent="0.45">
      <c r="D570" s="33"/>
      <c r="E570"/>
      <c r="F570"/>
    </row>
    <row r="571" spans="4:6" x14ac:dyDescent="0.45">
      <c r="D571" s="33"/>
      <c r="E571"/>
      <c r="F571"/>
    </row>
    <row r="572" spans="4:6" x14ac:dyDescent="0.45">
      <c r="D572" s="33"/>
      <c r="E572"/>
      <c r="F572"/>
    </row>
    <row r="573" spans="4:6" x14ac:dyDescent="0.45">
      <c r="D573" s="33"/>
      <c r="E573"/>
      <c r="F573"/>
    </row>
    <row r="574" spans="4:6" x14ac:dyDescent="0.45">
      <c r="D574" s="33"/>
      <c r="E574"/>
      <c r="F574"/>
    </row>
    <row r="575" spans="4:6" x14ac:dyDescent="0.45">
      <c r="D575" s="33"/>
      <c r="E575"/>
      <c r="F575"/>
    </row>
    <row r="576" spans="4:6" x14ac:dyDescent="0.45">
      <c r="D576" s="33"/>
      <c r="E576"/>
      <c r="F576"/>
    </row>
    <row r="577" spans="4:6" x14ac:dyDescent="0.45">
      <c r="D577" s="33"/>
      <c r="E577"/>
      <c r="F577"/>
    </row>
    <row r="578" spans="4:6" x14ac:dyDescent="0.45">
      <c r="D578" s="33"/>
      <c r="E578"/>
      <c r="F578"/>
    </row>
    <row r="579" spans="4:6" x14ac:dyDescent="0.45">
      <c r="D579" s="33"/>
      <c r="E579"/>
      <c r="F579"/>
    </row>
    <row r="580" spans="4:6" x14ac:dyDescent="0.45">
      <c r="D580" s="33"/>
      <c r="E580"/>
      <c r="F580"/>
    </row>
    <row r="581" spans="4:6" x14ac:dyDescent="0.45">
      <c r="D581" s="33"/>
      <c r="E581"/>
      <c r="F581"/>
    </row>
    <row r="582" spans="4:6" x14ac:dyDescent="0.45">
      <c r="D582" s="33"/>
      <c r="E582"/>
      <c r="F582"/>
    </row>
    <row r="583" spans="4:6" x14ac:dyDescent="0.45">
      <c r="D583" s="33"/>
      <c r="E583"/>
      <c r="F583"/>
    </row>
    <row r="584" spans="4:6" x14ac:dyDescent="0.45">
      <c r="D584" s="33"/>
      <c r="E584"/>
      <c r="F584"/>
    </row>
    <row r="585" spans="4:6" x14ac:dyDescent="0.45">
      <c r="D585" s="33"/>
      <c r="E585"/>
      <c r="F585"/>
    </row>
    <row r="586" spans="4:6" x14ac:dyDescent="0.45">
      <c r="D586" s="33"/>
      <c r="E586"/>
      <c r="F586"/>
    </row>
    <row r="587" spans="4:6" x14ac:dyDescent="0.45">
      <c r="D587" s="33"/>
      <c r="E587"/>
      <c r="F587"/>
    </row>
    <row r="588" spans="4:6" x14ac:dyDescent="0.45">
      <c r="D588" s="33"/>
      <c r="E588"/>
      <c r="F588"/>
    </row>
    <row r="589" spans="4:6" x14ac:dyDescent="0.45">
      <c r="D589" s="33"/>
      <c r="E589"/>
      <c r="F589"/>
    </row>
    <row r="590" spans="4:6" x14ac:dyDescent="0.45">
      <c r="D590" s="33"/>
      <c r="E590"/>
      <c r="F590"/>
    </row>
    <row r="591" spans="4:6" x14ac:dyDescent="0.45">
      <c r="D591" s="33"/>
      <c r="E591"/>
      <c r="F591"/>
    </row>
    <row r="592" spans="4:6" x14ac:dyDescent="0.45">
      <c r="D592" s="33"/>
      <c r="E592"/>
      <c r="F592"/>
    </row>
    <row r="593" spans="4:6" x14ac:dyDescent="0.45">
      <c r="D593" s="33"/>
      <c r="E593"/>
      <c r="F593"/>
    </row>
    <row r="594" spans="4:6" x14ac:dyDescent="0.45">
      <c r="D594" s="33"/>
      <c r="E594"/>
      <c r="F594"/>
    </row>
    <row r="595" spans="4:6" x14ac:dyDescent="0.45">
      <c r="D595" s="33"/>
      <c r="E595"/>
      <c r="F595"/>
    </row>
    <row r="596" spans="4:6" x14ac:dyDescent="0.45">
      <c r="D596" s="33"/>
      <c r="E596"/>
      <c r="F596"/>
    </row>
    <row r="597" spans="4:6" x14ac:dyDescent="0.45">
      <c r="D597" s="33"/>
      <c r="E597"/>
      <c r="F597"/>
    </row>
    <row r="598" spans="4:6" x14ac:dyDescent="0.45">
      <c r="D598" s="33"/>
      <c r="E598"/>
      <c r="F598"/>
    </row>
    <row r="599" spans="4:6" x14ac:dyDescent="0.45">
      <c r="D599" s="33"/>
      <c r="E599"/>
      <c r="F599"/>
    </row>
    <row r="600" spans="4:6" x14ac:dyDescent="0.45">
      <c r="D600" s="33"/>
      <c r="E600"/>
      <c r="F600"/>
    </row>
    <row r="601" spans="4:6" x14ac:dyDescent="0.45">
      <c r="D601" s="33"/>
      <c r="E601"/>
      <c r="F601"/>
    </row>
    <row r="602" spans="4:6" x14ac:dyDescent="0.45">
      <c r="D602" s="33"/>
      <c r="E602"/>
      <c r="F602"/>
    </row>
    <row r="603" spans="4:6" x14ac:dyDescent="0.45">
      <c r="D603" s="33"/>
      <c r="E603"/>
      <c r="F603"/>
    </row>
    <row r="604" spans="4:6" x14ac:dyDescent="0.45">
      <c r="D604" s="33"/>
      <c r="E604"/>
      <c r="F604"/>
    </row>
    <row r="605" spans="4:6" x14ac:dyDescent="0.45">
      <c r="D605" s="33"/>
      <c r="E605"/>
      <c r="F605"/>
    </row>
    <row r="606" spans="4:6" x14ac:dyDescent="0.45">
      <c r="D606" s="33"/>
      <c r="E606"/>
      <c r="F606"/>
    </row>
    <row r="607" spans="4:6" x14ac:dyDescent="0.45">
      <c r="D607" s="33"/>
      <c r="E607"/>
      <c r="F607"/>
    </row>
    <row r="608" spans="4:6" x14ac:dyDescent="0.45">
      <c r="D608" s="33"/>
      <c r="E608"/>
      <c r="F608"/>
    </row>
    <row r="609" spans="4:6" x14ac:dyDescent="0.45">
      <c r="D609" s="33"/>
      <c r="E609"/>
      <c r="F609"/>
    </row>
    <row r="610" spans="4:6" x14ac:dyDescent="0.45">
      <c r="D610" s="33"/>
      <c r="E610"/>
      <c r="F610"/>
    </row>
    <row r="611" spans="4:6" x14ac:dyDescent="0.45">
      <c r="D611" s="33"/>
      <c r="E611"/>
      <c r="F611"/>
    </row>
    <row r="612" spans="4:6" x14ac:dyDescent="0.45">
      <c r="D612" s="33"/>
      <c r="E612"/>
      <c r="F612"/>
    </row>
    <row r="613" spans="4:6" x14ac:dyDescent="0.45">
      <c r="D613" s="33"/>
      <c r="E613"/>
      <c r="F613"/>
    </row>
    <row r="614" spans="4:6" x14ac:dyDescent="0.45">
      <c r="D614" s="33"/>
      <c r="E614"/>
      <c r="F614"/>
    </row>
    <row r="615" spans="4:6" x14ac:dyDescent="0.45">
      <c r="D615" s="33"/>
      <c r="E615"/>
      <c r="F615"/>
    </row>
    <row r="616" spans="4:6" x14ac:dyDescent="0.45">
      <c r="D616" s="33"/>
      <c r="E616"/>
      <c r="F616"/>
    </row>
    <row r="617" spans="4:6" x14ac:dyDescent="0.45">
      <c r="D617" s="33"/>
      <c r="E617"/>
      <c r="F617"/>
    </row>
    <row r="618" spans="4:6" x14ac:dyDescent="0.45">
      <c r="D618" s="33"/>
      <c r="E618"/>
      <c r="F618"/>
    </row>
    <row r="619" spans="4:6" x14ac:dyDescent="0.45">
      <c r="D619" s="33"/>
      <c r="E619"/>
      <c r="F619"/>
    </row>
    <row r="620" spans="4:6" x14ac:dyDescent="0.45">
      <c r="D620" s="33"/>
      <c r="E620"/>
      <c r="F620"/>
    </row>
    <row r="621" spans="4:6" x14ac:dyDescent="0.45">
      <c r="D621" s="33"/>
      <c r="E621"/>
      <c r="F621"/>
    </row>
    <row r="622" spans="4:6" x14ac:dyDescent="0.45">
      <c r="D622" s="33"/>
      <c r="E622"/>
      <c r="F622"/>
    </row>
    <row r="623" spans="4:6" x14ac:dyDescent="0.45">
      <c r="D623" s="33"/>
      <c r="E623"/>
      <c r="F623"/>
    </row>
    <row r="624" spans="4:6" x14ac:dyDescent="0.45">
      <c r="D624" s="33"/>
      <c r="E624"/>
      <c r="F624"/>
    </row>
    <row r="625" spans="4:6" x14ac:dyDescent="0.45">
      <c r="D625" s="33"/>
      <c r="E625"/>
      <c r="F625"/>
    </row>
    <row r="626" spans="4:6" x14ac:dyDescent="0.45">
      <c r="D626" s="33"/>
      <c r="E626"/>
      <c r="F626"/>
    </row>
    <row r="627" spans="4:6" x14ac:dyDescent="0.45">
      <c r="D627" s="33"/>
      <c r="E627"/>
      <c r="F627"/>
    </row>
    <row r="628" spans="4:6" x14ac:dyDescent="0.45">
      <c r="D628" s="33"/>
      <c r="E628"/>
      <c r="F628"/>
    </row>
    <row r="629" spans="4:6" x14ac:dyDescent="0.45">
      <c r="D629" s="33"/>
      <c r="E629"/>
      <c r="F629"/>
    </row>
    <row r="630" spans="4:6" x14ac:dyDescent="0.45">
      <c r="D630" s="33"/>
      <c r="E630"/>
      <c r="F630"/>
    </row>
    <row r="631" spans="4:6" x14ac:dyDescent="0.45">
      <c r="D631" s="33"/>
      <c r="E631"/>
      <c r="F631"/>
    </row>
    <row r="632" spans="4:6" x14ac:dyDescent="0.45">
      <c r="D632" s="33"/>
      <c r="E632"/>
      <c r="F632"/>
    </row>
    <row r="633" spans="4:6" x14ac:dyDescent="0.45">
      <c r="D633" s="33"/>
      <c r="E633"/>
      <c r="F633"/>
    </row>
    <row r="634" spans="4:6" x14ac:dyDescent="0.45">
      <c r="D634" s="33"/>
      <c r="E634"/>
      <c r="F634"/>
    </row>
    <row r="635" spans="4:6" x14ac:dyDescent="0.45">
      <c r="D635" s="33"/>
      <c r="E635"/>
      <c r="F635"/>
    </row>
    <row r="636" spans="4:6" x14ac:dyDescent="0.45">
      <c r="D636" s="33"/>
      <c r="E636"/>
      <c r="F636"/>
    </row>
    <row r="637" spans="4:6" x14ac:dyDescent="0.45">
      <c r="D637" s="33"/>
      <c r="E637"/>
      <c r="F637"/>
    </row>
    <row r="638" spans="4:6" x14ac:dyDescent="0.45">
      <c r="D638" s="33"/>
      <c r="E638"/>
      <c r="F638"/>
    </row>
    <row r="639" spans="4:6" x14ac:dyDescent="0.45">
      <c r="D639" s="33"/>
      <c r="E639"/>
      <c r="F639"/>
    </row>
    <row r="640" spans="4:6" x14ac:dyDescent="0.45">
      <c r="D640" s="33"/>
      <c r="E640"/>
      <c r="F640"/>
    </row>
    <row r="641" spans="4:6" x14ac:dyDescent="0.45">
      <c r="D641" s="33"/>
      <c r="E641"/>
      <c r="F641"/>
    </row>
    <row r="642" spans="4:6" x14ac:dyDescent="0.45">
      <c r="D642" s="33"/>
      <c r="E642"/>
      <c r="F642"/>
    </row>
    <row r="643" spans="4:6" x14ac:dyDescent="0.45">
      <c r="D643" s="33"/>
      <c r="E643"/>
      <c r="F643"/>
    </row>
    <row r="644" spans="4:6" x14ac:dyDescent="0.45">
      <c r="D644" s="33"/>
      <c r="E644"/>
      <c r="F644"/>
    </row>
    <row r="645" spans="4:6" x14ac:dyDescent="0.45">
      <c r="D645" s="33"/>
      <c r="E645"/>
      <c r="F645"/>
    </row>
    <row r="646" spans="4:6" x14ac:dyDescent="0.45">
      <c r="D646" s="33"/>
      <c r="E646"/>
      <c r="F646"/>
    </row>
    <row r="647" spans="4:6" x14ac:dyDescent="0.45">
      <c r="D647" s="33"/>
      <c r="E647"/>
      <c r="F647"/>
    </row>
    <row r="648" spans="4:6" x14ac:dyDescent="0.45">
      <c r="D648" s="33"/>
      <c r="E648"/>
      <c r="F648"/>
    </row>
    <row r="649" spans="4:6" x14ac:dyDescent="0.45">
      <c r="D649" s="33"/>
      <c r="E649"/>
      <c r="F649"/>
    </row>
    <row r="650" spans="4:6" x14ac:dyDescent="0.45">
      <c r="D650" s="33"/>
      <c r="E650"/>
      <c r="F650"/>
    </row>
    <row r="651" spans="4:6" x14ac:dyDescent="0.45">
      <c r="D651" s="33"/>
      <c r="E651"/>
      <c r="F651"/>
    </row>
    <row r="652" spans="4:6" x14ac:dyDescent="0.45">
      <c r="D652" s="33"/>
      <c r="E652"/>
      <c r="F652"/>
    </row>
    <row r="653" spans="4:6" x14ac:dyDescent="0.45">
      <c r="D653" s="33"/>
      <c r="E653"/>
      <c r="F653"/>
    </row>
    <row r="654" spans="4:6" x14ac:dyDescent="0.45">
      <c r="D654" s="33"/>
      <c r="E654"/>
      <c r="F654"/>
    </row>
    <row r="655" spans="4:6" x14ac:dyDescent="0.45">
      <c r="D655" s="33"/>
      <c r="E655"/>
      <c r="F655"/>
    </row>
    <row r="656" spans="4:6" x14ac:dyDescent="0.45">
      <c r="D656" s="33"/>
      <c r="E656"/>
      <c r="F656"/>
    </row>
    <row r="657" spans="4:6" x14ac:dyDescent="0.45">
      <c r="D657" s="33"/>
      <c r="E657"/>
      <c r="F657"/>
    </row>
    <row r="658" spans="4:6" x14ac:dyDescent="0.45">
      <c r="D658" s="33"/>
      <c r="E658"/>
      <c r="F658"/>
    </row>
    <row r="659" spans="4:6" x14ac:dyDescent="0.45">
      <c r="D659" s="33"/>
      <c r="E659"/>
      <c r="F659"/>
    </row>
    <row r="660" spans="4:6" x14ac:dyDescent="0.45">
      <c r="D660" s="33"/>
      <c r="E660"/>
      <c r="F660"/>
    </row>
    <row r="661" spans="4:6" x14ac:dyDescent="0.45">
      <c r="D661" s="33"/>
      <c r="E661"/>
      <c r="F661"/>
    </row>
    <row r="662" spans="4:6" x14ac:dyDescent="0.45">
      <c r="D662" s="33"/>
      <c r="E662"/>
      <c r="F662"/>
    </row>
    <row r="663" spans="4:6" x14ac:dyDescent="0.45">
      <c r="D663" s="33"/>
      <c r="E663"/>
      <c r="F663"/>
    </row>
    <row r="664" spans="4:6" x14ac:dyDescent="0.45">
      <c r="D664" s="33"/>
      <c r="E664"/>
      <c r="F664"/>
    </row>
    <row r="665" spans="4:6" x14ac:dyDescent="0.45">
      <c r="D665" s="33"/>
      <c r="E665"/>
      <c r="F665"/>
    </row>
    <row r="666" spans="4:6" x14ac:dyDescent="0.45">
      <c r="D666" s="33"/>
      <c r="E666"/>
      <c r="F666"/>
    </row>
    <row r="667" spans="4:6" x14ac:dyDescent="0.45">
      <c r="D667" s="33"/>
      <c r="E667"/>
      <c r="F667"/>
    </row>
    <row r="668" spans="4:6" x14ac:dyDescent="0.45">
      <c r="D668" s="33"/>
      <c r="E668"/>
      <c r="F668"/>
    </row>
    <row r="669" spans="4:6" x14ac:dyDescent="0.45">
      <c r="D669" s="33"/>
      <c r="E669"/>
      <c r="F669"/>
    </row>
    <row r="670" spans="4:6" x14ac:dyDescent="0.45">
      <c r="D670" s="33"/>
      <c r="E670"/>
      <c r="F670"/>
    </row>
    <row r="671" spans="4:6" x14ac:dyDescent="0.45">
      <c r="D671" s="33"/>
      <c r="E671"/>
      <c r="F671"/>
    </row>
    <row r="672" spans="4:6" x14ac:dyDescent="0.45">
      <c r="D672" s="33"/>
      <c r="E672"/>
      <c r="F672"/>
    </row>
    <row r="673" spans="4:6" x14ac:dyDescent="0.45">
      <c r="D673" s="33"/>
      <c r="E673"/>
      <c r="F673"/>
    </row>
    <row r="674" spans="4:6" x14ac:dyDescent="0.45">
      <c r="D674" s="33"/>
      <c r="E674"/>
      <c r="F674"/>
    </row>
    <row r="675" spans="4:6" x14ac:dyDescent="0.45">
      <c r="D675" s="33"/>
      <c r="E675"/>
      <c r="F675"/>
    </row>
    <row r="676" spans="4:6" x14ac:dyDescent="0.45">
      <c r="D676" s="33"/>
      <c r="E676"/>
      <c r="F676"/>
    </row>
    <row r="677" spans="4:6" x14ac:dyDescent="0.45">
      <c r="D677" s="33"/>
      <c r="E677"/>
      <c r="F677"/>
    </row>
  </sheetData>
  <mergeCells count="6">
    <mergeCell ref="AB1:AC1"/>
    <mergeCell ref="D1:G1"/>
    <mergeCell ref="A1:B1"/>
    <mergeCell ref="I1:N1"/>
    <mergeCell ref="P1:T1"/>
    <mergeCell ref="V1:Z1"/>
  </mergeCells>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D6DE-3109-4DF1-9489-CE727DD1EB56}">
  <sheetPr>
    <tabColor rgb="FFC55A11"/>
  </sheetPr>
  <dimension ref="A1:F124"/>
  <sheetViews>
    <sheetView topLeftCell="A21" zoomScale="80" zoomScaleNormal="80" workbookViewId="0">
      <selection activeCell="E32" sqref="E32"/>
    </sheetView>
  </sheetViews>
  <sheetFormatPr defaultRowHeight="16.5" x14ac:dyDescent="0.45"/>
  <cols>
    <col min="1" max="1" width="15.7265625" style="30" bestFit="1" customWidth="1"/>
    <col min="2" max="2" width="12.6328125" style="48" customWidth="1"/>
    <col min="3" max="3" width="14.7265625" style="54" customWidth="1"/>
    <col min="4" max="4" width="24.7265625" style="30" customWidth="1"/>
    <col min="5" max="5" width="36.54296875" style="30" customWidth="1"/>
    <col min="6" max="6" width="14.6328125" style="105" customWidth="1"/>
    <col min="7" max="7" width="17.6328125" style="30" customWidth="1"/>
    <col min="8" max="8" width="12.453125" style="30" bestFit="1" customWidth="1"/>
    <col min="9" max="16384" width="8.7265625" style="30"/>
  </cols>
  <sheetData>
    <row r="1" spans="1:4" x14ac:dyDescent="0.45">
      <c r="A1" s="32" t="s">
        <v>1116</v>
      </c>
    </row>
    <row r="2" spans="1:4" x14ac:dyDescent="0.45">
      <c r="B2" s="34" t="s">
        <v>1114</v>
      </c>
      <c r="C2" s="55" t="s">
        <v>1061</v>
      </c>
      <c r="D2" s="31" t="s">
        <v>1080</v>
      </c>
    </row>
    <row r="3" spans="1:4" x14ac:dyDescent="0.45">
      <c r="B3" s="48">
        <v>45870</v>
      </c>
      <c r="C3" s="54">
        <f>GETPIVOTDATA("[Measures].[SLA Compliance Rate]",Detail!$D$3,"[fct_Shipments].[Order_Date (Month)]","[fct_Shipments].[Order_Date (Month)].&amp;[Aug]","[fct_Shipments].[Order_Date (Year)]","[fct_Shipments].[Order_Date (Year)].&amp;[2025]")</f>
        <v>0.84810126582278478</v>
      </c>
      <c r="D3" s="43">
        <v>0.9</v>
      </c>
    </row>
    <row r="4" spans="1:4" x14ac:dyDescent="0.45">
      <c r="B4" s="48">
        <v>45901</v>
      </c>
      <c r="C4" s="54">
        <f>GETPIVOTDATA("[Measures].[SLA Compliance Rate]",Detail!$D$3,"[fct_Shipments].[Order_Date (Month)]","[fct_Shipments].[Order_Date (Month)].&amp;[Sep]","[fct_Shipments].[Order_Date (Year)]","[fct_Shipments].[Order_Date (Year)].&amp;[2025]")</f>
        <v>0.79569892473118276</v>
      </c>
      <c r="D4" s="43">
        <v>0.9</v>
      </c>
    </row>
    <row r="5" spans="1:4" x14ac:dyDescent="0.45">
      <c r="B5" s="48">
        <v>45931</v>
      </c>
      <c r="C5" s="54">
        <f>GETPIVOTDATA("[Measures].[SLA Compliance Rate]",Detail!$D$3,"[fct_Shipments].[Order_Date (Month)]","[fct_Shipments].[Order_Date (Month)].&amp;[Oct]","[fct_Shipments].[Order_Date (Year)]","[fct_Shipments].[Order_Date (Year)].&amp;[2025]")</f>
        <v>0.80263157894736847</v>
      </c>
      <c r="D5" s="43">
        <v>0.9</v>
      </c>
    </row>
    <row r="6" spans="1:4" x14ac:dyDescent="0.45">
      <c r="B6" s="48">
        <v>45962</v>
      </c>
      <c r="C6" s="54">
        <f>GETPIVOTDATA("[Measures].[SLA Compliance Rate]",Detail!$D$3,"[fct_Shipments].[Order_Date (Month)]","[fct_Shipments].[Order_Date (Month)].&amp;[Nov]","[fct_Shipments].[Order_Date (Year)]","[fct_Shipments].[Order_Date (Year)].&amp;[2025]")</f>
        <v>0.76923076923076927</v>
      </c>
      <c r="D6" s="43">
        <v>0.9</v>
      </c>
    </row>
    <row r="7" spans="1:4" x14ac:dyDescent="0.45">
      <c r="B7" s="48">
        <v>45992</v>
      </c>
      <c r="C7" s="54">
        <f>GETPIVOTDATA("[Measures].[SLA Compliance Rate]",Detail!$D$3,"[fct_Shipments].[Order_Date (Month)]","[fct_Shipments].[Order_Date (Month)].&amp;[Dec]","[fct_Shipments].[Order_Date (Year)]","[fct_Shipments].[Order_Date (Year)].&amp;[2025]")</f>
        <v>0.8783783783783784</v>
      </c>
      <c r="D7" s="43">
        <v>0.9</v>
      </c>
    </row>
    <row r="8" spans="1:4" x14ac:dyDescent="0.45">
      <c r="B8" s="48">
        <v>46023</v>
      </c>
      <c r="C8" s="54">
        <f>GETPIVOTDATA("[Measures].[SLA Compliance Rate]",Detail!$D$3,"[fct_Shipments].[Order_Date (Month)]","[fct_Shipments].[Order_Date (Month)].&amp;[Jan]","[fct_Shipments].[Order_Date (Year)]","[fct_Shipments].[Order_Date (Year)].&amp;[2026]")</f>
        <v>0.84946236559139787</v>
      </c>
      <c r="D8" s="43">
        <v>0.9</v>
      </c>
    </row>
    <row r="9" spans="1:4" x14ac:dyDescent="0.45">
      <c r="B9" s="48">
        <v>46054</v>
      </c>
      <c r="C9" s="54">
        <f>GETPIVOTDATA("[Measures].[SLA Compliance Rate]",Detail!$D$2,"[fct_Shipments].[Order_Date (Month)]","[fct_Shipments].[Order_Date (Month)].&amp;[Mar]","[fct_Shipments].[Order_Date (Year)]","[fct_Shipments].[Order_Date (Year)].&amp;[2026]")</f>
        <v>0.81395348837209303</v>
      </c>
      <c r="D9" s="43">
        <v>0.9</v>
      </c>
    </row>
    <row r="10" spans="1:4" x14ac:dyDescent="0.45">
      <c r="B10" s="48">
        <v>46082</v>
      </c>
      <c r="C10" s="54">
        <f>GETPIVOTDATA("[Measures].[SLA Compliance Rate]",Detail!$D$3,"[fct_Shipments].[Order_Date (Month)]","[fct_Shipments].[Order_Date (Month)].&amp;[Mar]","[fct_Shipments].[Order_Date (Year)]","[fct_Shipments].[Order_Date (Year)].&amp;[2026]")</f>
        <v>0.81395348837209303</v>
      </c>
      <c r="D10" s="43">
        <v>0.9</v>
      </c>
    </row>
    <row r="11" spans="1:4" x14ac:dyDescent="0.45">
      <c r="B11" s="48">
        <v>46113</v>
      </c>
      <c r="C11" s="54">
        <f>GETPIVOTDATA("[Measures].[SLA Compliance Rate]",Detail!$D$3,"[fct_Shipments].[Order_Date (Month)]","[fct_Shipments].[Order_Date (Month)].&amp;[Apr]","[fct_Shipments].[Order_Date (Year)]","[fct_Shipments].[Order_Date (Year)].&amp;[2026]")</f>
        <v>0.79569892473118276</v>
      </c>
      <c r="D11" s="43">
        <v>0.9</v>
      </c>
    </row>
    <row r="12" spans="1:4" x14ac:dyDescent="0.45">
      <c r="B12" s="48">
        <v>46143</v>
      </c>
      <c r="C12" s="54">
        <f>GETPIVOTDATA("[Measures].[SLA Compliance Rate]",Detail!$D$3,"[fct_Shipments].[Order_Date (Month)]","[fct_Shipments].[Order_Date (Month)].&amp;[May]","[fct_Shipments].[Order_Date (Year)]","[fct_Shipments].[Order_Date (Year)].&amp;[2026]")</f>
        <v>0.8571428571428571</v>
      </c>
      <c r="D12" s="43">
        <v>0.9</v>
      </c>
    </row>
    <row r="13" spans="1:4" x14ac:dyDescent="0.45">
      <c r="B13" s="48">
        <v>46174</v>
      </c>
      <c r="C13" s="54">
        <f>GETPIVOTDATA("[Measures].[SLA Compliance Rate]",Detail!$D$3,"[fct_Shipments].[Order_Date (Month)]","[fct_Shipments].[Order_Date (Month)].&amp;[Jun]","[fct_Shipments].[Order_Date (Year)]","[fct_Shipments].[Order_Date (Year)].&amp;[2026]")</f>
        <v>0.85882352941176465</v>
      </c>
      <c r="D13" s="43">
        <v>0.9</v>
      </c>
    </row>
    <row r="14" spans="1:4" x14ac:dyDescent="0.45">
      <c r="B14" s="48">
        <v>46204</v>
      </c>
      <c r="C14" s="54">
        <f>GETPIVOTDATA("[Measures].[SLA Compliance Rate]",Detail!$D$3,"[fct_Shipments].[Order_Date (Month)]","[fct_Shipments].[Order_Date (Month)].&amp;[Jul]","[fct_Shipments].[Order_Date (Year)]","[fct_Shipments].[Order_Date (Year)].&amp;[2026]")</f>
        <v>0.92307692307692313</v>
      </c>
      <c r="D14" s="43">
        <v>0.9</v>
      </c>
    </row>
    <row r="17" spans="1:4" x14ac:dyDescent="0.45">
      <c r="A17" s="32" t="s">
        <v>1118</v>
      </c>
    </row>
    <row r="19" spans="1:4" x14ac:dyDescent="0.45">
      <c r="B19" s="48" t="s">
        <v>1115</v>
      </c>
      <c r="C19" s="54" t="s">
        <v>1058</v>
      </c>
      <c r="D19" s="30" t="s">
        <v>1061</v>
      </c>
    </row>
    <row r="20" spans="1:4" x14ac:dyDescent="0.45">
      <c r="B20" s="30" t="s">
        <v>5</v>
      </c>
      <c r="C20" s="30">
        <f>GETPIVOTDATA("[Measures].[Total Shipments]",Detail!$I$3,"[dim_Carriers].[Carrier_Name]","[dim_Carriers].[Carrier_Name].&amp;[Swift Express]")</f>
        <v>198</v>
      </c>
      <c r="D20" s="54">
        <f>GETPIVOTDATA("[Measures].[SLA Compliance Rate]",Detail!$I$3,"[dim_Carriers].[Carrier_Name]","[dim_Carriers].[Carrier_Name].&amp;[Swift Express]")</f>
        <v>0.85353535353535348</v>
      </c>
    </row>
    <row r="21" spans="1:4" x14ac:dyDescent="0.45">
      <c r="B21" s="30" t="s">
        <v>13</v>
      </c>
      <c r="C21" s="30">
        <f>GETPIVOTDATA("[Measures].[Total Shipments]",Detail!$I$3,"[dim_Carriers].[Carrier_Name]","[dim_Carriers].[Carrier_Name].&amp;[Velocity Transport]")</f>
        <v>207</v>
      </c>
      <c r="D21" s="54">
        <f>GETPIVOTDATA("[Measures].[SLA Compliance Rate]",Detail!$I$3,"[dim_Carriers].[Carrier_Name]","[dim_Carriers].[Carrier_Name].&amp;[Velocity Transport]")</f>
        <v>0.84057971014492749</v>
      </c>
    </row>
    <row r="22" spans="1:4" x14ac:dyDescent="0.45">
      <c r="B22" s="30" t="s">
        <v>9</v>
      </c>
      <c r="C22" s="30">
        <f>GETPIVOTDATA("[Measures].[Total Shipments]",Detail!$I$3,"[dim_Carriers].[Carrier_Name]","[dim_Carriers].[Carrier_Name].&amp;[FreightPulse]")</f>
        <v>210</v>
      </c>
      <c r="D22" s="54">
        <f>GETPIVOTDATA("[Measures].[SLA Compliance Rate]",Detail!$I$3,"[dim_Carriers].[Carrier_Name]","[dim_Carriers].[Carrier_Name].&amp;[FreightPulse]")</f>
        <v>0.83809523809523812</v>
      </c>
    </row>
    <row r="23" spans="1:4" x14ac:dyDescent="0.45">
      <c r="B23" s="30" t="s">
        <v>7</v>
      </c>
      <c r="C23" s="30">
        <f>GETPIVOTDATA("[Measures].[Total Shipments]",Detail!$I$3,"[dim_Carriers].[Carrier_Name]","[dim_Carriers].[Carrier_Name].&amp;[Apex Freight]")</f>
        <v>193</v>
      </c>
      <c r="D23" s="54">
        <f>GETPIVOTDATA("[Measures].[SLA Compliance Rate]",Detail!$I$3,"[dim_Carriers].[Carrier_Name]","[dim_Carriers].[Carrier_Name].&amp;[Apex Freight]")</f>
        <v>0.83419689119170981</v>
      </c>
    </row>
    <row r="24" spans="1:4" x14ac:dyDescent="0.45">
      <c r="B24" s="30" t="s">
        <v>11</v>
      </c>
      <c r="C24" s="30">
        <f>GETPIVOTDATA("[Measures].[Total Shipments]",Detail!$I$3,"[dim_Carriers].[Carrier_Name]","[dim_Carriers].[Carrier_Name].&amp;[RailLink Logistics]")</f>
        <v>192</v>
      </c>
      <c r="D24" s="54">
        <f>GETPIVOTDATA("[Measures].[SLA Compliance Rate]",Detail!$I$3,"[dim_Carriers].[Carrier_Name]","[dim_Carriers].[Carrier_Name].&amp;[RailLink Logistics]")</f>
        <v>0.80729166666666663</v>
      </c>
    </row>
    <row r="25" spans="1:4" x14ac:dyDescent="0.45">
      <c r="B25" s="30"/>
      <c r="C25" s="30"/>
    </row>
    <row r="26" spans="1:4" x14ac:dyDescent="0.45">
      <c r="B26" s="30"/>
      <c r="C26" s="30"/>
    </row>
    <row r="34" spans="1:5" x14ac:dyDescent="0.45">
      <c r="A34" s="32" t="s">
        <v>1119</v>
      </c>
    </row>
    <row r="35" spans="1:5" x14ac:dyDescent="0.45">
      <c r="B35" s="48" t="s">
        <v>1120</v>
      </c>
      <c r="C35" s="54">
        <f>AVERAGEIF(Trend[SLA Compliance Rate], "&gt;0",Trend[SLA Compliance Rate])</f>
        <v>0.83384604115073291</v>
      </c>
      <c r="D35" s="30" t="s">
        <v>1128</v>
      </c>
      <c r="E35" s="30" t="str">
        <f>INDEX(Carrier[Carrier], MATCH(MAX(Carrier[Total Shipments]), Carrier[Total Shipments], 0))</f>
        <v>FreightPulse</v>
      </c>
    </row>
    <row r="36" spans="1:5" x14ac:dyDescent="0.45">
      <c r="B36" s="48" t="s">
        <v>1121</v>
      </c>
      <c r="C36" s="54">
        <f>C35-90%</f>
        <v>-6.6153958849267114E-2</v>
      </c>
    </row>
    <row r="37" spans="1:5" x14ac:dyDescent="0.45">
      <c r="B37" s="48" t="s">
        <v>1122</v>
      </c>
      <c r="C37" s="54" t="str">
        <f>INDEX(B20:B24, MATCH(MAX(D20:D24), D20:D24, 0))</f>
        <v>Swift Express</v>
      </c>
    </row>
    <row r="38" spans="1:5" x14ac:dyDescent="0.45">
      <c r="B38" s="48" t="s">
        <v>1123</v>
      </c>
      <c r="C38" s="54" t="str">
        <f>INDEX(B20:B24, MATCH(MIN(D20:D24), D20:D24, 0))</f>
        <v>RailLink Logistics</v>
      </c>
    </row>
    <row r="39" spans="1:5" x14ac:dyDescent="0.45">
      <c r="B39" s="56" t="s">
        <v>1124</v>
      </c>
    </row>
    <row r="40" spans="1:5" x14ac:dyDescent="0.45">
      <c r="B40" s="48" t="str">
        <f>"Average SLA is "&amp;TEXT(C35,"0.0%")&amp; ", "&amp;TEXT(ABS(C36),"0.0%")&amp; " below the 90% target."</f>
        <v>Average SLA is 83.4%, 6.6% below the 90% target.</v>
      </c>
      <c r="C40" s="30"/>
      <c r="E40" s="30" t="str" cm="1">
        <f t="array" ref="E40">_xlfn.LET(
_xlpm.LastMonth,LOOKUP(2,1/(ISNUMBER(C3:C14)),B3:B14),
_xlpm.LastSLA,LOOKUP(2,1/(ISNUMBER(C3:C14)),C3:C14),
IF(
_xlpm.LastSLA&gt;=90%,
TEXT(_xlpm.LastMonth,"mmm-yy")&amp;" exceeded the target with "&amp;TEXT(_xlpm.LastSLA,"0.0%"),
TEXT(_xlpm.LastMonth,"mmm-yy")&amp;" closed at "&amp;TEXT(_xlpm.LastSLA,"0.0%")&amp;", remaining "&amp;TEXT(90%-_xlpm.LastSLA,"0.0%")&amp;" below target."
))</f>
        <v>Jul-26 exceeded the target with 92.3%</v>
      </c>
    </row>
    <row r="41" spans="1:5" x14ac:dyDescent="0.45">
      <c r="B41" s="56" t="s">
        <v>1125</v>
      </c>
    </row>
    <row r="42" spans="1:5" x14ac:dyDescent="0.45">
      <c r="B42" s="48" t="str">
        <f>"Best Performer: "&amp;C37&amp;
" achieved the highest SLA ("&amp;
TEXT(MAX(Carrier[SLA Compliance Rate]),"0.0%")&amp;
")."</f>
        <v>Best Performer: Swift Express achieved the highest SLA (85.4%).</v>
      </c>
    </row>
    <row r="43" spans="1:5" x14ac:dyDescent="0.45">
      <c r="B43" s="56" t="s">
        <v>1126</v>
      </c>
    </row>
    <row r="44" spans="1:5" x14ac:dyDescent="0.45">
      <c r="B44" s="48" t="str">
        <f>"Priority Review: "&amp;C38&amp;
" recorded the lowest SLA ("&amp;
TEXT(MIN(Carrier[SLA Compliance Rate]),"0.0%")&amp;
")."</f>
        <v>Priority Review: RailLink Logistics recorded the lowest SLA (80.7%).</v>
      </c>
    </row>
    <row r="45" spans="1:5" x14ac:dyDescent="0.45">
      <c r="B45" s="56" t="s">
        <v>1127</v>
      </c>
    </row>
    <row r="46" spans="1:5" x14ac:dyDescent="0.45">
      <c r="B46" s="48" t="str">
        <f>IF(
C35&gt;=90%,
"Recommendation: Maintain current operating practices and continue monitoring all carriers to sustain SLA performance above the target.",
IF(
C35&gt;=85%,
"Recommendation: Improve "&amp;C38&amp;" by adopting operational practices demonstrated by "&amp;C37&amp;" to help close the remaining SLA gap.",
"Recommendation: Conduct a root-cause analysis for "&amp;C38&amp;", address recurring delays, and implement corrective actions while benchmarking processes used by "&amp;C37&amp;"."
))</f>
        <v>Recommendation: Conduct a root-cause analysis for RailLink Logistics, address recurring delays, and implement corrective actions while benchmarking processes used by Swift Express.</v>
      </c>
    </row>
    <row r="48" spans="1:5" x14ac:dyDescent="0.45">
      <c r="A48" s="32" t="s">
        <v>1132</v>
      </c>
    </row>
    <row r="49" spans="2:4" x14ac:dyDescent="0.45">
      <c r="B49" s="57" t="s">
        <v>16</v>
      </c>
      <c r="C49" s="58" t="s">
        <v>1061</v>
      </c>
      <c r="D49" s="59" t="s">
        <v>1058</v>
      </c>
    </row>
    <row r="50" spans="2:4" x14ac:dyDescent="0.45">
      <c r="B50" s="60" t="s">
        <v>27</v>
      </c>
      <c r="C50" s="61">
        <f>GETPIVOTDATA("[Measures].[SLA Compliance Rate]",Detail!$V$3,"[dim_Warehouses].[Region]","[dim_Warehouses].[Region].&amp;[US-Central]")</f>
        <v>0.80790960451977401</v>
      </c>
      <c r="D50" s="62">
        <f>GETPIVOTDATA("[Measures].[Total Shipments]",Detail!$V$3,"[dim_Warehouses].[Region]","[dim_Warehouses].[Region].&amp;[US-Central]")</f>
        <v>177</v>
      </c>
    </row>
    <row r="51" spans="2:4" x14ac:dyDescent="0.45">
      <c r="B51" s="63" t="s">
        <v>21</v>
      </c>
      <c r="C51" s="64">
        <f>GETPIVOTDATA("[Measures].[SLA Compliance Rate]",Detail!$V$3,"[dim_Warehouses].[Region]","[dim_Warehouses].[Region].&amp;[US-East]")</f>
        <v>0.85964912280701755</v>
      </c>
      <c r="D51" s="65">
        <f>GETPIVOTDATA("[Measures].[Total Shipments]",Detail!$V$3,"[dim_Warehouses].[Region]","[dim_Warehouses].[Region].&amp;[US-East]")</f>
        <v>171</v>
      </c>
    </row>
    <row r="52" spans="2:4" x14ac:dyDescent="0.45">
      <c r="B52" s="60" t="s">
        <v>24</v>
      </c>
      <c r="C52" s="61">
        <f>GETPIVOTDATA("[Measures].[SLA Compliance Rate]",Detail!$V$3,"[dim_Warehouses].[Region]","[dim_Warehouses].[Region].&amp;[US-South]")</f>
        <v>0.82727272727272727</v>
      </c>
      <c r="D52" s="62">
        <f>GETPIVOTDATA("[Measures].[Total Shipments]",Detail!$V$3,"[dim_Warehouses].[Region]","[dim_Warehouses].[Region].&amp;[US-South]")</f>
        <v>330</v>
      </c>
    </row>
    <row r="53" spans="2:4" x14ac:dyDescent="0.45">
      <c r="B53" s="63" t="s">
        <v>30</v>
      </c>
      <c r="C53" s="64">
        <f>GETPIVOTDATA("[Measures].[SLA Compliance Rate]",Detail!$V$3,"[dim_Warehouses].[Region]","[dim_Warehouses].[Region].&amp;[US-West]")</f>
        <v>0.84472049689440998</v>
      </c>
      <c r="D53" s="65">
        <f>GETPIVOTDATA("[Measures].[Total Shipments]",Detail!$V$3,"[dim_Warehouses].[Region]","[dim_Warehouses].[Region].&amp;[US-West]")</f>
        <v>322</v>
      </c>
    </row>
    <row r="54" spans="2:4" x14ac:dyDescent="0.45">
      <c r="C54" s="66"/>
    </row>
    <row r="67" spans="1:5" x14ac:dyDescent="0.45">
      <c r="A67" s="32" t="s">
        <v>1131</v>
      </c>
      <c r="D67" s="67"/>
      <c r="E67" s="67"/>
    </row>
    <row r="68" spans="1:5" x14ac:dyDescent="0.45">
      <c r="B68" s="57" t="s">
        <v>1133</v>
      </c>
      <c r="C68" s="58" t="s">
        <v>1042</v>
      </c>
      <c r="D68" s="68" t="s">
        <v>1041</v>
      </c>
      <c r="E68" s="68" t="s">
        <v>1043</v>
      </c>
    </row>
    <row r="69" spans="1:5" x14ac:dyDescent="0.45">
      <c r="B69" s="63" t="s">
        <v>20</v>
      </c>
      <c r="C69" s="64">
        <f>GETPIVOTDATA("[Measures].[Total Shipments]",Detail!$P$3,"[dim_Warehouses].[Warehouse_Name]","[dim_Warehouses].[Warehouse_Name].&amp;[Newark Distribution Center]","[fct_Shipments].[Delivery_Status]","[fct_Shipments].[Delivery_Status].&amp;[Minor Delay]")</f>
        <v>6.4327485380116955E-2</v>
      </c>
      <c r="D69" s="70">
        <f>GETPIVOTDATA("[Measures].[Total Shipments]",Detail!$P$3,"[dim_Warehouses].[Warehouse_Name]","[dim_Warehouses].[Warehouse_Name].&amp;[Newark Distribution Center]","[fct_Shipments].[Delivery_Status]","[fct_Shipments].[Delivery_Status].&amp;[On-Time]")</f>
        <v>0.85964912280701755</v>
      </c>
      <c r="E69" s="84">
        <f>GETPIVOTDATA("[Measures].[Total Shipments]",Detail!$P$3,"[dim_Warehouses].[Warehouse_Name]","[dim_Warehouses].[Warehouse_Name].&amp;[Newark Distribution Center]","[fct_Shipments].[Delivery_Status]","[fct_Shipments].[Delivery_Status].&amp;[SLA Breach]")</f>
        <v>7.6023391812865493E-2</v>
      </c>
    </row>
    <row r="70" spans="1:5" x14ac:dyDescent="0.45">
      <c r="B70" s="60" t="s">
        <v>32</v>
      </c>
      <c r="C70" s="61">
        <f>GETPIVOTDATA("[Measures].[Total Shipments]",Detail!$P$3,"[dim_Warehouses].[Warehouse_Name]","[dim_Warehouses].[Warehouse_Name].&amp;[Dallas Consolidation Center]","[fct_Shipments].[Delivery_Status]","[fct_Shipments].[Delivery_Status].&amp;[Minor Delay]")</f>
        <v>7.926829268292683E-2</v>
      </c>
      <c r="D70" s="69">
        <f>GETPIVOTDATA("[Measures].[Total Shipments]",Detail!$P$3,"[dim_Warehouses].[Warehouse_Name]","[dim_Warehouses].[Warehouse_Name].&amp;[Dallas Consolidation Center]","[fct_Shipments].[Delivery_Status]","[fct_Shipments].[Delivery_Status].&amp;[On-Time]")</f>
        <v>0.84146341463414631</v>
      </c>
      <c r="E70" s="85">
        <f>GETPIVOTDATA("[Measures].[Total Shipments]",Detail!$P$3,"[dim_Warehouses].[Warehouse_Name]","[dim_Warehouses].[Warehouse_Name].&amp;[Dallas Consolidation Center]","[fct_Shipments].[Delivery_Status]","[fct_Shipments].[Delivery_Status].&amp;[SLA Breach]")</f>
        <v>7.926829268292683E-2</v>
      </c>
    </row>
    <row r="71" spans="1:5" x14ac:dyDescent="0.45">
      <c r="B71" s="60" t="s">
        <v>29</v>
      </c>
      <c r="C71" s="61">
        <f>GETPIVOTDATA("[Measures].[Total Shipments]",Detail!$P$3,"[dim_Warehouses].[Warehouse_Name]","[dim_Warehouses].[Warehouse_Name].&amp;[Reno Cross-Dock Facility]","[fct_Shipments].[Delivery_Status]","[fct_Shipments].[Delivery_Status].&amp;[Minor Delay]")</f>
        <v>6.0402684563758392E-2</v>
      </c>
      <c r="D71" s="69">
        <f>GETPIVOTDATA("[Measures].[Total Shipments]",Detail!$P$3,"[dim_Warehouses].[Warehouse_Name]","[dim_Warehouses].[Warehouse_Name].&amp;[Reno Cross-Dock Facility]","[fct_Shipments].[Delivery_Status]","[fct_Shipments].[Delivery_Status].&amp;[On-Time]")</f>
        <v>0.85906040268456374</v>
      </c>
      <c r="E71" s="85">
        <f>GETPIVOTDATA("[Measures].[Total Shipments]",Detail!$P$3,"[dim_Warehouses].[Warehouse_Name]","[dim_Warehouses].[Warehouse_Name].&amp;[Reno Cross-Dock Facility]","[fct_Shipments].[Delivery_Status]","[fct_Shipments].[Delivery_Status].&amp;[SLA Breach]")</f>
        <v>8.0536912751677847E-2</v>
      </c>
    </row>
    <row r="72" spans="1:5" x14ac:dyDescent="0.45">
      <c r="B72" s="60" t="s">
        <v>26</v>
      </c>
      <c r="C72" s="61">
        <f>GETPIVOTDATA("[Measures].[Total Shipments]",Detail!$P$3,"[dim_Warehouses].[Warehouse_Name]","[dim_Warehouses].[Warehouse_Name].&amp;[Columbus Regional Depot]","[fct_Shipments].[Delivery_Status]","[fct_Shipments].[Delivery_Status].&amp;[Minor Delay]")</f>
        <v>9.6045197740112997E-2</v>
      </c>
      <c r="D72" s="69">
        <f>GETPIVOTDATA("[Measures].[Total Shipments]",Detail!$P$3,"[dim_Warehouses].[Warehouse_Name]","[dim_Warehouses].[Warehouse_Name].&amp;[Columbus Regional Depot]","[fct_Shipments].[Delivery_Status]","[fct_Shipments].[Delivery_Status].&amp;[On-Time]")</f>
        <v>0.80790960451977401</v>
      </c>
      <c r="E72" s="85">
        <f>GETPIVOTDATA("[Measures].[Total Shipments]",Detail!$P$3,"[dim_Warehouses].[Warehouse_Name]","[dim_Warehouses].[Warehouse_Name].&amp;[Columbus Regional Depot]","[fct_Shipments].[Delivery_Status]","[fct_Shipments].[Delivery_Status].&amp;[SLA Breach]")</f>
        <v>9.6045197740112997E-2</v>
      </c>
    </row>
    <row r="73" spans="1:5" x14ac:dyDescent="0.45">
      <c r="B73" s="60" t="s">
        <v>23</v>
      </c>
      <c r="C73" s="61">
        <f>GETPIVOTDATA("[Measures].[Total Shipments]",Detail!$P$3,"[dim_Warehouses].[Warehouse_Name]","[dim_Warehouses].[Warehouse_Name].&amp;[Atlanta Fulfillment Hub]","[fct_Shipments].[Delivery_Status]","[fct_Shipments].[Delivery_Status].&amp;[Minor Delay]")</f>
        <v>9.036144578313253E-2</v>
      </c>
      <c r="D73" s="69">
        <f>GETPIVOTDATA("[Measures].[Total Shipments]",Detail!$P$3,"[dim_Warehouses].[Warehouse_Name]","[dim_Warehouses].[Warehouse_Name].&amp;[Atlanta Fulfillment Hub]","[fct_Shipments].[Delivery_Status]","[fct_Shipments].[Delivery_Status].&amp;[On-Time]")</f>
        <v>0.81325301204819278</v>
      </c>
      <c r="E73" s="85">
        <f>GETPIVOTDATA("[Measures].[Total Shipments]",Detail!$P$3,"[dim_Warehouses].[Warehouse_Name]","[dim_Warehouses].[Warehouse_Name].&amp;[Atlanta Fulfillment Hub]","[fct_Shipments].[Delivery_Status]","[fct_Shipments].[Delivery_Status].&amp;[SLA Breach]")</f>
        <v>9.6385542168674704E-2</v>
      </c>
    </row>
    <row r="74" spans="1:5" x14ac:dyDescent="0.45">
      <c r="B74" s="60" t="s">
        <v>34</v>
      </c>
      <c r="C74" s="61">
        <f>GETPIVOTDATA("[Measures].[Total Shipments]",Detail!$P$3,"[dim_Warehouses].[Warehouse_Name]","[dim_Warehouses].[Warehouse_Name].&amp;[Tacoma Coastal Warehouse]","[fct_Shipments].[Delivery_Status]","[fct_Shipments].[Delivery_Status].&amp;[Minor Delay]")</f>
        <v>5.2023121387283239E-2</v>
      </c>
      <c r="D74" s="69">
        <f>GETPIVOTDATA("[Measures].[Total Shipments]",Detail!$P$3,"[dim_Warehouses].[Warehouse_Name]","[dim_Warehouses].[Warehouse_Name].&amp;[Tacoma Coastal Warehouse]","[fct_Shipments].[Delivery_Status]","[fct_Shipments].[Delivery_Status].&amp;[On-Time]")</f>
        <v>0.83236994219653182</v>
      </c>
      <c r="E74" s="85">
        <f>GETPIVOTDATA("[Measures].[Total Shipments]",Detail!$P$3,"[dim_Warehouses].[Warehouse_Name]","[dim_Warehouses].[Warehouse_Name].&amp;[Tacoma Coastal Warehouse]","[fct_Shipments].[Delivery_Status]","[fct_Shipments].[Delivery_Status].&amp;[SLA Breach]")</f>
        <v>0.11560693641618497</v>
      </c>
    </row>
    <row r="86" spans="1:3" x14ac:dyDescent="0.45">
      <c r="A86" s="32" t="s">
        <v>1136</v>
      </c>
    </row>
    <row r="87" spans="1:3" x14ac:dyDescent="0.45">
      <c r="B87" s="42" t="s">
        <v>1137</v>
      </c>
      <c r="C87" s="66" t="s">
        <v>1058</v>
      </c>
    </row>
    <row r="88" spans="1:3" x14ac:dyDescent="0.45">
      <c r="B88" s="42" t="s">
        <v>1138</v>
      </c>
      <c r="C88" s="54">
        <f>GETPIVOTDATA("[Measures].[Total Shipments]",Detail!$AB$3,"[fct_Shipments].[Delay_Days]","[fct_Shipments].[Delay_Days].&amp;[-1]")</f>
        <v>0.26800000000000002</v>
      </c>
    </row>
    <row r="89" spans="1:3" x14ac:dyDescent="0.45">
      <c r="B89" s="42" t="s">
        <v>1139</v>
      </c>
      <c r="C89" s="54">
        <f>GETPIVOTDATA("[Measures].[Total Shipments]",Detail!$AB$3,"[fct_Shipments].[Delay_Days]","[fct_Shipments].[Delay_Days].&amp;[0]")</f>
        <v>0.56699999999999995</v>
      </c>
    </row>
    <row r="90" spans="1:3" x14ac:dyDescent="0.45">
      <c r="B90" s="42" t="s">
        <v>1140</v>
      </c>
      <c r="C90" s="54">
        <f>GETPIVOTDATA("[Measures].[Total Shipments]",Detail!$AB$3,"[fct_Shipments].[Delay_Days]","[fct_Shipments].[Delay_Days].&amp;[1]")</f>
        <v>9.0999999999999998E-2</v>
      </c>
    </row>
    <row r="91" spans="1:3" x14ac:dyDescent="0.45">
      <c r="B91" s="42" t="s">
        <v>1141</v>
      </c>
      <c r="C91" s="54">
        <f>GETPIVOTDATA("[Measures].[Total Shipments]",Detail!$AB$3,"[fct_Shipments].[Delay_Days]","[fct_Shipments].[Delay_Days].&amp;[2]")</f>
        <v>4.1000000000000002E-2</v>
      </c>
    </row>
    <row r="92" spans="1:3" x14ac:dyDescent="0.45">
      <c r="B92" s="42" t="s">
        <v>1142</v>
      </c>
      <c r="C92" s="54">
        <f>GETPIVOTDATA("[Measures].[Total Shipments]",Detail!$AB$3,"[fct_Shipments].[Delay_Days]","[fct_Shipments].[Delay_Days].&amp;[3]")</f>
        <v>1.7000000000000001E-2</v>
      </c>
    </row>
    <row r="93" spans="1:3" x14ac:dyDescent="0.45">
      <c r="B93" s="42" t="s">
        <v>1143</v>
      </c>
      <c r="C93" s="54">
        <f>GETPIVOTDATA("[Measures].[Total Shipments]",Detail!$AB$3,"[fct_Shipments].[Delay_Days]","[fct_Shipments].[Delay_Days].&amp;[4]")</f>
        <v>1.6E-2</v>
      </c>
    </row>
    <row r="101" spans="1:5" x14ac:dyDescent="0.45">
      <c r="A101" s="32" t="s">
        <v>1144</v>
      </c>
      <c r="B101" s="42"/>
      <c r="C101" s="66"/>
    </row>
    <row r="102" spans="1:5" x14ac:dyDescent="0.45">
      <c r="B102" s="59" t="s">
        <v>1107</v>
      </c>
      <c r="C102" s="83" t="s">
        <v>1088</v>
      </c>
      <c r="D102" s="58" t="s">
        <v>1087</v>
      </c>
      <c r="E102" s="83" t="s">
        <v>1080</v>
      </c>
    </row>
    <row r="103" spans="1:5" x14ac:dyDescent="0.45">
      <c r="B103" s="62">
        <v>0</v>
      </c>
      <c r="C103" s="79">
        <f>Scenario_Analysis!I4</f>
        <v>21600</v>
      </c>
      <c r="D103" s="61">
        <f>Scenario_Analysis!G4</f>
        <v>0.83499999999999996</v>
      </c>
      <c r="E103" s="80">
        <v>0.9</v>
      </c>
    </row>
    <row r="104" spans="1:5" x14ac:dyDescent="0.45">
      <c r="B104" s="65">
        <v>1</v>
      </c>
      <c r="C104" s="81">
        <f>Scenario_Analysis!I5</f>
        <v>9225</v>
      </c>
      <c r="D104" s="64">
        <f>Scenario_Analysis!G5</f>
        <v>0.92600000000000005</v>
      </c>
      <c r="E104" s="82">
        <v>0.9</v>
      </c>
    </row>
    <row r="105" spans="1:5" x14ac:dyDescent="0.45">
      <c r="B105" s="62">
        <v>2</v>
      </c>
      <c r="C105" s="79">
        <f>Scenario_Analysis!I6</f>
        <v>3675</v>
      </c>
      <c r="D105" s="61">
        <f>Scenario_Analysis!G6</f>
        <v>0.96699999999999997</v>
      </c>
      <c r="E105" s="80">
        <v>0.9</v>
      </c>
    </row>
    <row r="106" spans="1:5" x14ac:dyDescent="0.45">
      <c r="B106" s="65">
        <v>3</v>
      </c>
      <c r="C106" s="81">
        <f>Scenario_Analysis!I7</f>
        <v>1200</v>
      </c>
      <c r="D106" s="64">
        <f>Scenario_Analysis!G7</f>
        <v>0.98399999999999999</v>
      </c>
      <c r="E106" s="82">
        <v>0.9</v>
      </c>
    </row>
    <row r="107" spans="1:5" x14ac:dyDescent="0.45">
      <c r="B107" s="62">
        <v>4</v>
      </c>
      <c r="C107" s="79">
        <f>Scenario_Analysis!I8</f>
        <v>0</v>
      </c>
      <c r="D107" s="61">
        <f>Scenario_Analysis!G8</f>
        <v>1</v>
      </c>
      <c r="E107" s="80">
        <v>0.9</v>
      </c>
    </row>
    <row r="117" spans="1:6" x14ac:dyDescent="0.45">
      <c r="A117" s="32"/>
    </row>
    <row r="118" spans="1:6" x14ac:dyDescent="0.45">
      <c r="A118" s="32"/>
    </row>
    <row r="124" spans="1:6" x14ac:dyDescent="0.45">
      <c r="C124" s="102"/>
      <c r="D124" s="44"/>
      <c r="E124" s="66"/>
      <c r="F124" s="106"/>
    </row>
  </sheetData>
  <pageMargins left="0.7" right="0.7" top="0.75" bottom="0.75" header="0.3" footer="0.3"/>
  <pageSetup orientation="portrait" r:id="rId1"/>
  <drawing r:id="rId2"/>
  <tableParts count="6">
    <tablePart r:id="rId3"/>
    <tablePart r:id="rId4"/>
    <tablePart r:id="rId5"/>
    <tablePart r:id="rId6"/>
    <tablePart r:id="rId7"/>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99AC-A20D-4F7C-8E02-5F1F9A917EFE}">
  <sheetPr>
    <tabColor theme="5" tint="-0.249977111117893"/>
  </sheetPr>
  <dimension ref="B3:L20"/>
  <sheetViews>
    <sheetView zoomScaleNormal="100" workbookViewId="0">
      <selection activeCell="J8" sqref="J8"/>
    </sheetView>
  </sheetViews>
  <sheetFormatPr defaultRowHeight="14.5" x14ac:dyDescent="0.35"/>
  <cols>
    <col min="2" max="2" width="33.7265625" bestFit="1" customWidth="1"/>
    <col min="3" max="3" width="9.6328125" bestFit="1" customWidth="1"/>
    <col min="5" max="5" width="18.08984375" bestFit="1" customWidth="1"/>
    <col min="6" max="6" width="8.36328125" bestFit="1" customWidth="1"/>
    <col min="7" max="7" width="10.54296875" style="19" bestFit="1" customWidth="1"/>
    <col min="8" max="8" width="11" bestFit="1" customWidth="1"/>
    <col min="9" max="9" width="12.08984375" style="24" bestFit="1" customWidth="1"/>
    <col min="10" max="10" width="5.81640625" style="19" bestFit="1" customWidth="1"/>
  </cols>
  <sheetData>
    <row r="3" spans="2:12" x14ac:dyDescent="0.35">
      <c r="B3" s="15" t="s">
        <v>1081</v>
      </c>
      <c r="C3" s="21">
        <v>0</v>
      </c>
      <c r="E3" s="15" t="s">
        <v>1107</v>
      </c>
      <c r="F3" s="15" t="s">
        <v>1082</v>
      </c>
      <c r="G3" s="25" t="s">
        <v>1087</v>
      </c>
      <c r="H3" s="15" t="s">
        <v>1084</v>
      </c>
      <c r="I3" s="26" t="s">
        <v>1088</v>
      </c>
      <c r="J3" s="25" t="s">
        <v>1106</v>
      </c>
    </row>
    <row r="4" spans="2:12" x14ac:dyDescent="0.35">
      <c r="B4" s="15" t="s">
        <v>1086</v>
      </c>
      <c r="C4" s="8">
        <v>75</v>
      </c>
      <c r="E4" s="8">
        <v>0</v>
      </c>
      <c r="F4" s="8">
        <f>C5</f>
        <v>165</v>
      </c>
      <c r="G4" s="27">
        <f>C6</f>
        <v>0.83499999999999996</v>
      </c>
      <c r="H4" s="8">
        <f>C7</f>
        <v>288</v>
      </c>
      <c r="I4" s="28">
        <f>C8</f>
        <v>21600</v>
      </c>
      <c r="J4" s="27">
        <f>C9</f>
        <v>-6.5000000000000058E-2</v>
      </c>
    </row>
    <row r="5" spans="2:12" x14ac:dyDescent="0.35">
      <c r="B5" s="15" t="s">
        <v>1082</v>
      </c>
      <c r="C5" s="8" cm="1">
        <f t="array" ref="C5">SUMPRODUCT((B12:B17&gt;$C$3)*C12:C17)</f>
        <v>165</v>
      </c>
      <c r="E5" s="8">
        <v>1</v>
      </c>
      <c r="F5" s="8">
        <f t="dataTable" ref="F5:J8" dt2D="0" dtr="0" r1="C3"/>
        <v>74</v>
      </c>
      <c r="G5" s="27">
        <v>0.92600000000000005</v>
      </c>
      <c r="H5" s="8">
        <v>123</v>
      </c>
      <c r="I5" s="28">
        <v>9225</v>
      </c>
      <c r="J5" s="27">
        <v>2.6000000000000023E-2</v>
      </c>
      <c r="L5" s="18">
        <f>(I4-I5)/I4</f>
        <v>0.57291666666666663</v>
      </c>
    </row>
    <row r="6" spans="2:12" x14ac:dyDescent="0.35">
      <c r="B6" s="15" t="s">
        <v>1083</v>
      </c>
      <c r="C6" s="22">
        <f xml:space="preserve"> 1 - C5/1000</f>
        <v>0.83499999999999996</v>
      </c>
      <c r="E6" s="8">
        <v>2</v>
      </c>
      <c r="F6" s="8">
        <v>33</v>
      </c>
      <c r="G6" s="27">
        <v>0.96699999999999997</v>
      </c>
      <c r="H6" s="8">
        <v>49</v>
      </c>
      <c r="I6" s="28">
        <v>3675</v>
      </c>
      <c r="J6" s="27">
        <v>6.6999999999999948E-2</v>
      </c>
    </row>
    <row r="7" spans="2:12" x14ac:dyDescent="0.35">
      <c r="B7" s="15" t="s">
        <v>1084</v>
      </c>
      <c r="C7" s="8" cm="1">
        <f t="array" ref="C7">SUMPRODUCT((B12:B17&gt;$C$3)*(B12:B17-$C$3)*C12:C17)</f>
        <v>288</v>
      </c>
      <c r="E7" s="8">
        <v>3</v>
      </c>
      <c r="F7" s="8">
        <v>16</v>
      </c>
      <c r="G7" s="27">
        <v>0.98399999999999999</v>
      </c>
      <c r="H7" s="8">
        <v>16</v>
      </c>
      <c r="I7" s="28">
        <v>1200</v>
      </c>
      <c r="J7" s="27">
        <v>8.3999999999999964E-2</v>
      </c>
    </row>
    <row r="8" spans="2:12" x14ac:dyDescent="0.35">
      <c r="B8" s="15" t="s">
        <v>1085</v>
      </c>
      <c r="C8" s="8">
        <f>C7*C4</f>
        <v>21600</v>
      </c>
      <c r="E8" s="8">
        <v>4</v>
      </c>
      <c r="F8" s="8">
        <v>0</v>
      </c>
      <c r="G8" s="27">
        <v>1</v>
      </c>
      <c r="H8" s="8">
        <v>0</v>
      </c>
      <c r="I8" s="28">
        <v>0</v>
      </c>
      <c r="J8" s="27">
        <v>9.9999999999999978E-2</v>
      </c>
    </row>
    <row r="9" spans="2:12" x14ac:dyDescent="0.35">
      <c r="B9" s="15" t="s">
        <v>1105</v>
      </c>
      <c r="C9" s="23">
        <f>C6 - 0.9</f>
        <v>-6.5000000000000058E-2</v>
      </c>
    </row>
    <row r="10" spans="2:12" x14ac:dyDescent="0.35">
      <c r="C10" s="20"/>
    </row>
    <row r="11" spans="2:12" x14ac:dyDescent="0.35">
      <c r="B11" s="16" t="s">
        <v>1101</v>
      </c>
      <c r="C11" s="16" t="s">
        <v>1102</v>
      </c>
      <c r="E11" s="29" t="s">
        <v>1108</v>
      </c>
    </row>
    <row r="12" spans="2:12" x14ac:dyDescent="0.35">
      <c r="B12" s="8">
        <v>-1</v>
      </c>
      <c r="C12" s="8">
        <v>268</v>
      </c>
    </row>
    <row r="13" spans="2:12" x14ac:dyDescent="0.35">
      <c r="B13" s="8">
        <v>0</v>
      </c>
      <c r="C13" s="8">
        <v>567</v>
      </c>
    </row>
    <row r="14" spans="2:12" x14ac:dyDescent="0.35">
      <c r="B14" s="8">
        <v>1</v>
      </c>
      <c r="C14" s="8">
        <v>91</v>
      </c>
    </row>
    <row r="15" spans="2:12" x14ac:dyDescent="0.35">
      <c r="B15" s="8">
        <v>2</v>
      </c>
      <c r="C15" s="8">
        <v>41</v>
      </c>
    </row>
    <row r="16" spans="2:12" x14ac:dyDescent="0.35">
      <c r="B16" s="8">
        <v>3</v>
      </c>
      <c r="C16" s="8">
        <v>17</v>
      </c>
    </row>
    <row r="17" spans="2:3" x14ac:dyDescent="0.35">
      <c r="B17" s="8">
        <v>4</v>
      </c>
      <c r="C17" s="8">
        <v>16</v>
      </c>
    </row>
    <row r="18" spans="2:3" x14ac:dyDescent="0.35">
      <c r="B18" t="s">
        <v>1103</v>
      </c>
    </row>
    <row r="20" spans="2:3" x14ac:dyDescent="0.35">
      <c r="B20" s="17" t="s">
        <v>1104</v>
      </c>
      <c r="C20" s="8">
        <f>SUM(C12:C17)</f>
        <v>1000</v>
      </c>
    </row>
  </sheetData>
  <conditionalFormatting sqref="J1:J1048576">
    <cfRule type="cellIs" dxfId="3" priority="2" operator="lessThan">
      <formula>0</formula>
    </cfRule>
  </conditionalFormatting>
  <conditionalFormatting sqref="J4:J8">
    <cfRule type="cellIs" dxfId="2" priority="1" operator="greaterThanOrEqual">
      <formula>0</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B3:E10"/>
  <sheetViews>
    <sheetView workbookViewId="0">
      <selection activeCell="D7" sqref="D7"/>
    </sheetView>
  </sheetViews>
  <sheetFormatPr defaultRowHeight="14.5" x14ac:dyDescent="0.35"/>
  <cols>
    <col min="2" max="2" width="96.36328125" customWidth="1"/>
    <col min="3" max="3" width="25.54296875" bestFit="1" customWidth="1"/>
    <col min="4" max="4" width="15.26953125" bestFit="1" customWidth="1"/>
    <col min="5" max="5" width="22.7265625" bestFit="1" customWidth="1"/>
  </cols>
  <sheetData>
    <row r="3" spans="2:5" x14ac:dyDescent="0.35">
      <c r="B3" t="s">
        <v>1053</v>
      </c>
      <c r="C3" t="s">
        <v>1054</v>
      </c>
      <c r="D3" t="s">
        <v>1055</v>
      </c>
    </row>
    <row r="4" spans="2:5" x14ac:dyDescent="0.35">
      <c r="B4" t="s">
        <v>1044</v>
      </c>
      <c r="C4">
        <v>0.9</v>
      </c>
      <c r="D4" t="s">
        <v>1050</v>
      </c>
    </row>
    <row r="5" spans="2:5" x14ac:dyDescent="0.35">
      <c r="B5" t="s">
        <v>1045</v>
      </c>
      <c r="C5">
        <v>75</v>
      </c>
      <c r="D5" t="s">
        <v>1051</v>
      </c>
    </row>
    <row r="6" spans="2:5" x14ac:dyDescent="0.35">
      <c r="B6" t="s">
        <v>1046</v>
      </c>
      <c r="C6" t="s">
        <v>1048</v>
      </c>
      <c r="D6" t="s">
        <v>1052</v>
      </c>
    </row>
    <row r="7" spans="2:5" x14ac:dyDescent="0.35">
      <c r="B7" t="s">
        <v>1047</v>
      </c>
      <c r="C7" t="s">
        <v>1049</v>
      </c>
      <c r="D7" t="s">
        <v>1052</v>
      </c>
    </row>
    <row r="9" spans="2:5" x14ac:dyDescent="0.35">
      <c r="B9" s="9" t="s">
        <v>1056</v>
      </c>
      <c r="C9" s="7"/>
      <c r="D9" s="7"/>
      <c r="E9" s="7"/>
    </row>
    <row r="10" spans="2:5" x14ac:dyDescent="0.35">
      <c r="B10" s="8" t="s">
        <v>1057</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8CAE7-1BB0-4053-A86E-4A664C5CBF73}">
  <sheetPr>
    <tabColor theme="5" tint="0.59999389629810485"/>
  </sheetPr>
  <dimension ref="A1:D6"/>
  <sheetViews>
    <sheetView workbookViewId="0">
      <selection activeCell="F21" sqref="F21"/>
    </sheetView>
  </sheetViews>
  <sheetFormatPr defaultRowHeight="14.5" x14ac:dyDescent="0.35"/>
  <cols>
    <col min="1" max="1" width="11.6328125" style="3" bestFit="1" customWidth="1"/>
    <col min="2" max="2" width="16" style="3" bestFit="1" customWidth="1"/>
    <col min="3" max="3" width="17.453125" style="5" bestFit="1" customWidth="1"/>
    <col min="4" max="4" width="24.81640625" style="2" bestFit="1" customWidth="1"/>
  </cols>
  <sheetData>
    <row r="1" spans="1:4" x14ac:dyDescent="0.35">
      <c r="A1" t="s">
        <v>0</v>
      </c>
      <c r="B1" t="s">
        <v>1</v>
      </c>
      <c r="C1" t="s">
        <v>2</v>
      </c>
      <c r="D1" t="s">
        <v>3</v>
      </c>
    </row>
    <row r="2" spans="1:4" x14ac:dyDescent="0.35">
      <c r="A2" t="s">
        <v>4</v>
      </c>
      <c r="B2" t="s">
        <v>5</v>
      </c>
      <c r="C2">
        <v>2</v>
      </c>
      <c r="D2">
        <v>21.5</v>
      </c>
    </row>
    <row r="3" spans="1:4" x14ac:dyDescent="0.35">
      <c r="A3" t="s">
        <v>6</v>
      </c>
      <c r="B3" t="s">
        <v>7</v>
      </c>
      <c r="C3">
        <v>3</v>
      </c>
      <c r="D3">
        <v>16.75</v>
      </c>
    </row>
    <row r="4" spans="1:4" x14ac:dyDescent="0.35">
      <c r="A4" t="s">
        <v>8</v>
      </c>
      <c r="B4" t="s">
        <v>9</v>
      </c>
      <c r="C4">
        <v>4</v>
      </c>
      <c r="D4">
        <v>11.4</v>
      </c>
    </row>
    <row r="5" spans="1:4" x14ac:dyDescent="0.35">
      <c r="A5" t="s">
        <v>10</v>
      </c>
      <c r="B5" t="s">
        <v>11</v>
      </c>
      <c r="C5">
        <v>5</v>
      </c>
      <c r="D5">
        <v>8.25</v>
      </c>
    </row>
    <row r="6" spans="1:4" x14ac:dyDescent="0.35">
      <c r="A6" t="s">
        <v>12</v>
      </c>
      <c r="B6" t="s">
        <v>13</v>
      </c>
      <c r="C6">
        <v>3</v>
      </c>
      <c r="D6">
        <v>18.899999999999999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22E2F-A757-43DC-959C-75AC0677F3C4}">
  <sheetPr>
    <tabColor theme="5" tint="0.59999389629810485"/>
  </sheetPr>
  <dimension ref="A1:E7"/>
  <sheetViews>
    <sheetView workbookViewId="0">
      <selection activeCell="F21" sqref="F21"/>
    </sheetView>
  </sheetViews>
  <sheetFormatPr defaultRowHeight="14.5" x14ac:dyDescent="0.35"/>
  <cols>
    <col min="1" max="1" width="15.6328125" style="3" bestFit="1" customWidth="1"/>
    <col min="2" max="2" width="24.26953125" style="3" bestFit="1" customWidth="1"/>
    <col min="3" max="3" width="9.6328125" style="3" bestFit="1" customWidth="1"/>
    <col min="4" max="4" width="20.36328125" style="5" bestFit="1" customWidth="1"/>
    <col min="5" max="5" width="23.81640625" style="2" bestFit="1" customWidth="1"/>
  </cols>
  <sheetData>
    <row r="1" spans="1:5" x14ac:dyDescent="0.35">
      <c r="A1" t="s">
        <v>14</v>
      </c>
      <c r="B1" t="s">
        <v>15</v>
      </c>
      <c r="C1" t="s">
        <v>16</v>
      </c>
      <c r="D1" t="s">
        <v>17</v>
      </c>
      <c r="E1" t="s">
        <v>18</v>
      </c>
    </row>
    <row r="2" spans="1:5" x14ac:dyDescent="0.35">
      <c r="A2" t="s">
        <v>19</v>
      </c>
      <c r="B2" t="s">
        <v>20</v>
      </c>
      <c r="C2" t="s">
        <v>21</v>
      </c>
      <c r="D2">
        <v>68500</v>
      </c>
      <c r="E2" s="6">
        <v>2.15</v>
      </c>
    </row>
    <row r="3" spans="1:5" x14ac:dyDescent="0.35">
      <c r="A3" t="s">
        <v>22</v>
      </c>
      <c r="B3" t="s">
        <v>23</v>
      </c>
      <c r="C3" t="s">
        <v>24</v>
      </c>
      <c r="D3">
        <v>52400</v>
      </c>
      <c r="E3" s="6">
        <v>1.65</v>
      </c>
    </row>
    <row r="4" spans="1:5" x14ac:dyDescent="0.35">
      <c r="A4" t="s">
        <v>25</v>
      </c>
      <c r="B4" t="s">
        <v>26</v>
      </c>
      <c r="C4" t="s">
        <v>27</v>
      </c>
      <c r="D4">
        <v>45900</v>
      </c>
      <c r="E4" s="6">
        <v>1.42</v>
      </c>
    </row>
    <row r="5" spans="1:5" x14ac:dyDescent="0.35">
      <c r="A5" t="s">
        <v>28</v>
      </c>
      <c r="B5" t="s">
        <v>29</v>
      </c>
      <c r="C5" t="s">
        <v>30</v>
      </c>
      <c r="D5">
        <v>31200</v>
      </c>
      <c r="E5" s="6">
        <v>2.68</v>
      </c>
    </row>
    <row r="6" spans="1:5" x14ac:dyDescent="0.35">
      <c r="A6" t="s">
        <v>31</v>
      </c>
      <c r="B6" t="s">
        <v>32</v>
      </c>
      <c r="C6" t="s">
        <v>24</v>
      </c>
      <c r="D6">
        <v>74300</v>
      </c>
      <c r="E6" s="6">
        <v>1.28</v>
      </c>
    </row>
    <row r="7" spans="1:5" x14ac:dyDescent="0.35">
      <c r="A7" t="s">
        <v>33</v>
      </c>
      <c r="B7" t="s">
        <v>34</v>
      </c>
      <c r="C7" t="s">
        <v>30</v>
      </c>
      <c r="D7">
        <v>27800</v>
      </c>
      <c r="E7" s="6">
        <v>2.44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5573E-5AFD-47F6-9361-2026B0FA2EBB}">
  <sheetPr>
    <tabColor theme="5" tint="0.59999389629810485"/>
  </sheetPr>
  <dimension ref="A1:M1001"/>
  <sheetViews>
    <sheetView workbookViewId="0">
      <selection activeCell="F21" sqref="F21"/>
    </sheetView>
  </sheetViews>
  <sheetFormatPr defaultRowHeight="14.5" x14ac:dyDescent="0.35"/>
  <cols>
    <col min="1" max="1" width="13.90625" style="3" bestFit="1" customWidth="1"/>
    <col min="2" max="2" width="13" style="1" bestFit="1" customWidth="1"/>
    <col min="3" max="3" width="15.26953125" style="3" customWidth="1"/>
    <col min="4" max="4" width="15.6328125" style="3" bestFit="1" customWidth="1"/>
    <col min="5" max="5" width="20.26953125" style="1" customWidth="1"/>
    <col min="6" max="6" width="20.7265625" style="1" bestFit="1" customWidth="1"/>
    <col min="7" max="7" width="21.54296875" style="5" customWidth="1"/>
    <col min="8" max="8" width="22" style="2" bestFit="1" customWidth="1"/>
    <col min="9" max="9" width="13.6328125" style="2" customWidth="1"/>
    <col min="10" max="10" width="13.1796875" style="2" bestFit="1" customWidth="1"/>
    <col min="11" max="11" width="12.7265625" style="2" bestFit="1" customWidth="1"/>
    <col min="12" max="12" width="12" style="2" bestFit="1" customWidth="1"/>
    <col min="13" max="13" width="16.1796875" style="2" bestFit="1" customWidth="1"/>
  </cols>
  <sheetData>
    <row r="1" spans="1:8" customFormat="1" x14ac:dyDescent="0.35">
      <c r="A1" t="s">
        <v>35</v>
      </c>
      <c r="B1" t="s">
        <v>36</v>
      </c>
      <c r="C1" t="s">
        <v>14</v>
      </c>
      <c r="D1" t="s">
        <v>0</v>
      </c>
      <c r="E1" t="s">
        <v>37</v>
      </c>
      <c r="F1" t="s">
        <v>38</v>
      </c>
      <c r="G1" t="s">
        <v>39</v>
      </c>
      <c r="H1" t="s">
        <v>40</v>
      </c>
    </row>
    <row r="2" spans="1:8" customFormat="1" x14ac:dyDescent="0.35">
      <c r="A2" t="s">
        <v>41</v>
      </c>
      <c r="B2" s="1">
        <v>45870</v>
      </c>
      <c r="C2" t="s">
        <v>33</v>
      </c>
      <c r="D2" t="s">
        <v>12</v>
      </c>
      <c r="E2" s="1">
        <v>45872</v>
      </c>
      <c r="F2" s="1">
        <v>45871</v>
      </c>
      <c r="G2">
        <v>1491</v>
      </c>
      <c r="H2">
        <v>256.89</v>
      </c>
    </row>
    <row r="3" spans="1:8" customFormat="1" x14ac:dyDescent="0.35">
      <c r="A3" t="s">
        <v>42</v>
      </c>
      <c r="B3" s="1">
        <v>45870</v>
      </c>
      <c r="C3" t="s">
        <v>31</v>
      </c>
      <c r="D3" t="s">
        <v>8</v>
      </c>
      <c r="E3" s="1">
        <v>45871</v>
      </c>
      <c r="F3" s="1">
        <v>45870</v>
      </c>
      <c r="G3">
        <v>360</v>
      </c>
      <c r="H3">
        <v>78.25</v>
      </c>
    </row>
    <row r="4" spans="1:8" customFormat="1" x14ac:dyDescent="0.35">
      <c r="A4" t="s">
        <v>43</v>
      </c>
      <c r="B4" s="1">
        <v>45870</v>
      </c>
      <c r="C4" t="s">
        <v>33</v>
      </c>
      <c r="D4" t="s">
        <v>10</v>
      </c>
      <c r="E4" s="1">
        <v>45872</v>
      </c>
      <c r="F4" s="1">
        <v>45874</v>
      </c>
      <c r="G4">
        <v>985</v>
      </c>
      <c r="H4">
        <v>167.3</v>
      </c>
    </row>
    <row r="5" spans="1:8" customFormat="1" x14ac:dyDescent="0.35">
      <c r="A5" t="s">
        <v>44</v>
      </c>
      <c r="B5" s="1">
        <v>45870</v>
      </c>
      <c r="C5" t="s">
        <v>33</v>
      </c>
      <c r="D5" t="s">
        <v>10</v>
      </c>
      <c r="E5" s="1">
        <v>45872</v>
      </c>
      <c r="F5" s="1">
        <v>45871</v>
      </c>
      <c r="G5">
        <v>2180</v>
      </c>
      <c r="H5">
        <v>346.68</v>
      </c>
    </row>
    <row r="6" spans="1:8" customFormat="1" x14ac:dyDescent="0.35">
      <c r="A6" t="s">
        <v>45</v>
      </c>
      <c r="B6" s="1">
        <v>45870</v>
      </c>
      <c r="C6" t="s">
        <v>22</v>
      </c>
      <c r="D6" t="s">
        <v>4</v>
      </c>
      <c r="E6" s="1">
        <v>45872</v>
      </c>
      <c r="F6" s="1">
        <v>45872</v>
      </c>
      <c r="G6">
        <v>1628</v>
      </c>
      <c r="H6">
        <v>276.77999999999997</v>
      </c>
    </row>
    <row r="7" spans="1:8" customFormat="1" x14ac:dyDescent="0.35">
      <c r="A7" t="s">
        <v>46</v>
      </c>
      <c r="B7" s="1">
        <v>45870</v>
      </c>
      <c r="C7" t="s">
        <v>33</v>
      </c>
      <c r="D7" t="s">
        <v>4</v>
      </c>
      <c r="E7" s="1">
        <v>45872</v>
      </c>
      <c r="F7" s="1">
        <v>45871</v>
      </c>
      <c r="G7">
        <v>143</v>
      </c>
      <c r="H7">
        <v>52.4</v>
      </c>
    </row>
    <row r="8" spans="1:8" customFormat="1" x14ac:dyDescent="0.35">
      <c r="A8" t="s">
        <v>47</v>
      </c>
      <c r="B8" s="1">
        <v>45871</v>
      </c>
      <c r="C8" t="s">
        <v>28</v>
      </c>
      <c r="D8" t="s">
        <v>8</v>
      </c>
      <c r="E8" s="1">
        <v>45873</v>
      </c>
      <c r="F8" s="1">
        <v>45873</v>
      </c>
      <c r="G8">
        <v>2286</v>
      </c>
      <c r="H8">
        <v>369.23</v>
      </c>
    </row>
    <row r="9" spans="1:8" customFormat="1" x14ac:dyDescent="0.35">
      <c r="A9" t="s">
        <v>48</v>
      </c>
      <c r="B9" s="1">
        <v>45871</v>
      </c>
      <c r="C9" t="s">
        <v>28</v>
      </c>
      <c r="D9" t="s">
        <v>10</v>
      </c>
      <c r="E9" s="1">
        <v>45872</v>
      </c>
      <c r="F9" s="1">
        <v>45872</v>
      </c>
      <c r="G9">
        <v>1480</v>
      </c>
      <c r="H9">
        <v>240.25</v>
      </c>
    </row>
    <row r="10" spans="1:8" customFormat="1" x14ac:dyDescent="0.35">
      <c r="A10" t="s">
        <v>49</v>
      </c>
      <c r="B10" s="1">
        <v>45871</v>
      </c>
      <c r="C10" t="s">
        <v>22</v>
      </c>
      <c r="D10" t="s">
        <v>8</v>
      </c>
      <c r="E10" s="1">
        <v>45873</v>
      </c>
      <c r="F10" s="1">
        <v>45873</v>
      </c>
      <c r="G10">
        <v>1945</v>
      </c>
      <c r="H10">
        <v>310.01</v>
      </c>
    </row>
    <row r="11" spans="1:8" customFormat="1" x14ac:dyDescent="0.35">
      <c r="A11" t="s">
        <v>50</v>
      </c>
      <c r="B11" s="1">
        <v>45872</v>
      </c>
      <c r="C11" t="s">
        <v>19</v>
      </c>
      <c r="D11" t="s">
        <v>4</v>
      </c>
      <c r="E11" s="1">
        <v>45874</v>
      </c>
      <c r="F11" s="1">
        <v>45873</v>
      </c>
      <c r="G11">
        <v>2171</v>
      </c>
      <c r="H11">
        <v>358.5</v>
      </c>
    </row>
    <row r="12" spans="1:8" customFormat="1" x14ac:dyDescent="0.35">
      <c r="A12" t="s">
        <v>51</v>
      </c>
      <c r="B12" s="1">
        <v>45873</v>
      </c>
      <c r="C12" t="s">
        <v>31</v>
      </c>
      <c r="D12" t="s">
        <v>8</v>
      </c>
      <c r="E12" s="1">
        <v>45874</v>
      </c>
      <c r="F12" s="1">
        <v>45874</v>
      </c>
      <c r="G12">
        <v>1626</v>
      </c>
      <c r="H12">
        <v>264.05</v>
      </c>
    </row>
    <row r="13" spans="1:8" customFormat="1" x14ac:dyDescent="0.35">
      <c r="A13" t="s">
        <v>52</v>
      </c>
      <c r="B13" s="1">
        <v>45873</v>
      </c>
      <c r="C13" t="s">
        <v>19</v>
      </c>
      <c r="D13" t="s">
        <v>8</v>
      </c>
      <c r="E13" s="1">
        <v>45875</v>
      </c>
      <c r="F13" s="1">
        <v>45875</v>
      </c>
      <c r="G13">
        <v>129</v>
      </c>
      <c r="H13">
        <v>48.23</v>
      </c>
    </row>
    <row r="14" spans="1:8" customFormat="1" x14ac:dyDescent="0.35">
      <c r="A14" t="s">
        <v>53</v>
      </c>
      <c r="B14" s="1">
        <v>45873</v>
      </c>
      <c r="C14" t="s">
        <v>22</v>
      </c>
      <c r="D14" t="s">
        <v>10</v>
      </c>
      <c r="E14" s="1">
        <v>45875</v>
      </c>
      <c r="F14" s="1">
        <v>45874</v>
      </c>
      <c r="G14">
        <v>1099</v>
      </c>
      <c r="H14">
        <v>183.69</v>
      </c>
    </row>
    <row r="15" spans="1:8" customFormat="1" x14ac:dyDescent="0.35">
      <c r="A15" t="s">
        <v>54</v>
      </c>
      <c r="B15" s="1">
        <v>45874</v>
      </c>
      <c r="C15" t="s">
        <v>19</v>
      </c>
      <c r="D15" t="s">
        <v>10</v>
      </c>
      <c r="E15" s="1">
        <v>45875</v>
      </c>
      <c r="F15" s="1">
        <v>45875</v>
      </c>
      <c r="G15">
        <v>1661</v>
      </c>
      <c r="H15">
        <v>267.89</v>
      </c>
    </row>
    <row r="16" spans="1:8" customFormat="1" x14ac:dyDescent="0.35">
      <c r="A16" t="s">
        <v>55</v>
      </c>
      <c r="B16" s="1">
        <v>45874</v>
      </c>
      <c r="C16" t="s">
        <v>33</v>
      </c>
      <c r="D16" t="s">
        <v>6</v>
      </c>
      <c r="E16" s="1">
        <v>45875</v>
      </c>
      <c r="F16" s="1">
        <v>45875</v>
      </c>
      <c r="G16">
        <v>1366</v>
      </c>
      <c r="H16">
        <v>235.14</v>
      </c>
    </row>
    <row r="17" spans="1:8" customFormat="1" x14ac:dyDescent="0.35">
      <c r="A17" t="s">
        <v>56</v>
      </c>
      <c r="B17" s="1">
        <v>45874</v>
      </c>
      <c r="C17" t="s">
        <v>28</v>
      </c>
      <c r="D17" t="s">
        <v>6</v>
      </c>
      <c r="E17" s="1">
        <v>45875</v>
      </c>
      <c r="F17" s="1">
        <v>45875</v>
      </c>
      <c r="G17">
        <v>2080</v>
      </c>
      <c r="H17">
        <v>343.55</v>
      </c>
    </row>
    <row r="18" spans="1:8" customFormat="1" x14ac:dyDescent="0.35">
      <c r="A18" t="s">
        <v>57</v>
      </c>
      <c r="B18" s="1">
        <v>45874</v>
      </c>
      <c r="C18" t="s">
        <v>31</v>
      </c>
      <c r="D18" t="s">
        <v>6</v>
      </c>
      <c r="E18" s="1">
        <v>45876</v>
      </c>
      <c r="F18" s="1">
        <v>45875</v>
      </c>
      <c r="G18">
        <v>630</v>
      </c>
      <c r="H18">
        <v>130.05000000000001</v>
      </c>
    </row>
    <row r="19" spans="1:8" customFormat="1" x14ac:dyDescent="0.35">
      <c r="A19" t="s">
        <v>58</v>
      </c>
      <c r="B19" s="1">
        <v>45874</v>
      </c>
      <c r="C19" t="s">
        <v>33</v>
      </c>
      <c r="D19" t="s">
        <v>8</v>
      </c>
      <c r="E19" s="1">
        <v>45875</v>
      </c>
      <c r="F19" s="1">
        <v>45875</v>
      </c>
      <c r="G19">
        <v>1410</v>
      </c>
      <c r="H19">
        <v>229.04</v>
      </c>
    </row>
    <row r="20" spans="1:8" customFormat="1" x14ac:dyDescent="0.35">
      <c r="A20" t="s">
        <v>59</v>
      </c>
      <c r="B20" s="1">
        <v>45874</v>
      </c>
      <c r="C20" t="s">
        <v>22</v>
      </c>
      <c r="D20" t="s">
        <v>10</v>
      </c>
      <c r="E20" s="1">
        <v>45876</v>
      </c>
      <c r="F20" s="1">
        <v>45879</v>
      </c>
      <c r="G20">
        <v>2127</v>
      </c>
      <c r="H20">
        <v>340.31</v>
      </c>
    </row>
    <row r="21" spans="1:8" customFormat="1" x14ac:dyDescent="0.35">
      <c r="A21" t="s">
        <v>60</v>
      </c>
      <c r="B21" s="1">
        <v>45875</v>
      </c>
      <c r="C21" t="s">
        <v>31</v>
      </c>
      <c r="D21" t="s">
        <v>12</v>
      </c>
      <c r="E21" s="1">
        <v>45876</v>
      </c>
      <c r="F21" s="1">
        <v>45877</v>
      </c>
      <c r="G21">
        <v>2453</v>
      </c>
      <c r="H21">
        <v>397.76</v>
      </c>
    </row>
    <row r="22" spans="1:8" customFormat="1" x14ac:dyDescent="0.35">
      <c r="A22" t="s">
        <v>61</v>
      </c>
      <c r="B22" s="1">
        <v>45875</v>
      </c>
      <c r="C22" t="s">
        <v>19</v>
      </c>
      <c r="D22" t="s">
        <v>12</v>
      </c>
      <c r="E22" s="1">
        <v>45876</v>
      </c>
      <c r="F22" s="1">
        <v>45876</v>
      </c>
      <c r="G22">
        <v>44</v>
      </c>
      <c r="H22">
        <v>40.82</v>
      </c>
    </row>
    <row r="23" spans="1:8" customFormat="1" x14ac:dyDescent="0.35">
      <c r="A23" t="s">
        <v>62</v>
      </c>
      <c r="B23" s="1">
        <v>45875</v>
      </c>
      <c r="C23" t="s">
        <v>33</v>
      </c>
      <c r="D23" t="s">
        <v>4</v>
      </c>
      <c r="E23" s="1">
        <v>45876</v>
      </c>
      <c r="F23" s="1">
        <v>45877</v>
      </c>
      <c r="G23">
        <v>435</v>
      </c>
      <c r="H23">
        <v>102.03</v>
      </c>
    </row>
    <row r="24" spans="1:8" customFormat="1" x14ac:dyDescent="0.35">
      <c r="A24" t="s">
        <v>63</v>
      </c>
      <c r="B24" s="1">
        <v>45876</v>
      </c>
      <c r="C24" t="s">
        <v>22</v>
      </c>
      <c r="D24" t="s">
        <v>4</v>
      </c>
      <c r="E24" s="1">
        <v>45878</v>
      </c>
      <c r="F24" s="1">
        <v>45878</v>
      </c>
      <c r="G24">
        <v>743</v>
      </c>
      <c r="H24">
        <v>151.91999999999999</v>
      </c>
    </row>
    <row r="25" spans="1:8" customFormat="1" x14ac:dyDescent="0.35">
      <c r="A25" t="s">
        <v>64</v>
      </c>
      <c r="B25" s="1">
        <v>45876</v>
      </c>
      <c r="C25" t="s">
        <v>19</v>
      </c>
      <c r="D25" t="s">
        <v>6</v>
      </c>
      <c r="E25" s="1">
        <v>45878</v>
      </c>
      <c r="F25" s="1">
        <v>45878</v>
      </c>
      <c r="G25">
        <v>147</v>
      </c>
      <c r="H25">
        <v>46.79</v>
      </c>
    </row>
    <row r="26" spans="1:8" customFormat="1" x14ac:dyDescent="0.35">
      <c r="A26" t="s">
        <v>65</v>
      </c>
      <c r="B26" s="1">
        <v>45877</v>
      </c>
      <c r="C26" t="s">
        <v>33</v>
      </c>
      <c r="D26" t="s">
        <v>12</v>
      </c>
      <c r="E26" s="1">
        <v>45878</v>
      </c>
      <c r="F26" s="1">
        <v>45878</v>
      </c>
      <c r="G26">
        <v>2276</v>
      </c>
      <c r="H26">
        <v>369.68</v>
      </c>
    </row>
    <row r="27" spans="1:8" customFormat="1" x14ac:dyDescent="0.35">
      <c r="A27" t="s">
        <v>66</v>
      </c>
      <c r="B27" s="1">
        <v>45877</v>
      </c>
      <c r="C27" t="s">
        <v>22</v>
      </c>
      <c r="D27" t="s">
        <v>6</v>
      </c>
      <c r="E27" s="1">
        <v>45878</v>
      </c>
      <c r="F27" s="1">
        <v>45878</v>
      </c>
      <c r="G27">
        <v>1003</v>
      </c>
      <c r="H27">
        <v>182.63</v>
      </c>
    </row>
    <row r="28" spans="1:8" customFormat="1" x14ac:dyDescent="0.35">
      <c r="A28" t="s">
        <v>67</v>
      </c>
      <c r="B28" s="1">
        <v>45877</v>
      </c>
      <c r="C28" t="s">
        <v>28</v>
      </c>
      <c r="D28" t="s">
        <v>6</v>
      </c>
      <c r="E28" s="1">
        <v>45879</v>
      </c>
      <c r="F28" s="1">
        <v>45879</v>
      </c>
      <c r="G28">
        <v>2051</v>
      </c>
      <c r="H28">
        <v>344.37</v>
      </c>
    </row>
    <row r="29" spans="1:8" customFormat="1" x14ac:dyDescent="0.35">
      <c r="A29" t="s">
        <v>68</v>
      </c>
      <c r="B29" s="1">
        <v>45878</v>
      </c>
      <c r="C29" t="s">
        <v>22</v>
      </c>
      <c r="D29" t="s">
        <v>8</v>
      </c>
      <c r="E29" s="1">
        <v>45879</v>
      </c>
      <c r="F29" s="1">
        <v>45880</v>
      </c>
      <c r="G29">
        <v>475</v>
      </c>
      <c r="H29">
        <v>98.83</v>
      </c>
    </row>
    <row r="30" spans="1:8" customFormat="1" x14ac:dyDescent="0.35">
      <c r="A30" t="s">
        <v>69</v>
      </c>
      <c r="B30" s="1">
        <v>45878</v>
      </c>
      <c r="C30" t="s">
        <v>25</v>
      </c>
      <c r="D30" t="s">
        <v>12</v>
      </c>
      <c r="E30" s="1">
        <v>45880</v>
      </c>
      <c r="F30" s="1">
        <v>45879</v>
      </c>
      <c r="G30">
        <v>952</v>
      </c>
      <c r="H30">
        <v>172.4</v>
      </c>
    </row>
    <row r="31" spans="1:8" customFormat="1" x14ac:dyDescent="0.35">
      <c r="A31" t="s">
        <v>70</v>
      </c>
      <c r="B31" s="1">
        <v>45878</v>
      </c>
      <c r="C31" t="s">
        <v>19</v>
      </c>
      <c r="D31" t="s">
        <v>12</v>
      </c>
      <c r="E31" s="1">
        <v>45880</v>
      </c>
      <c r="F31" s="1">
        <v>45882</v>
      </c>
      <c r="G31">
        <v>1135</v>
      </c>
      <c r="H31">
        <v>202.19</v>
      </c>
    </row>
    <row r="32" spans="1:8" customFormat="1" x14ac:dyDescent="0.35">
      <c r="A32" t="s">
        <v>71</v>
      </c>
      <c r="B32" s="1">
        <v>45878</v>
      </c>
      <c r="C32" t="s">
        <v>33</v>
      </c>
      <c r="D32" t="s">
        <v>6</v>
      </c>
      <c r="E32" s="1">
        <v>45879</v>
      </c>
      <c r="F32" s="1">
        <v>45879</v>
      </c>
      <c r="G32">
        <v>1000</v>
      </c>
      <c r="H32">
        <v>178.29</v>
      </c>
    </row>
    <row r="33" spans="1:8" customFormat="1" x14ac:dyDescent="0.35">
      <c r="A33" t="s">
        <v>72</v>
      </c>
      <c r="B33" s="1">
        <v>45879</v>
      </c>
      <c r="C33" t="s">
        <v>25</v>
      </c>
      <c r="D33" t="s">
        <v>10</v>
      </c>
      <c r="E33" s="1">
        <v>45880</v>
      </c>
      <c r="F33" s="1">
        <v>45880</v>
      </c>
      <c r="G33">
        <v>417</v>
      </c>
      <c r="H33">
        <v>89.36</v>
      </c>
    </row>
    <row r="34" spans="1:8" customFormat="1" x14ac:dyDescent="0.35">
      <c r="A34" t="s">
        <v>73</v>
      </c>
      <c r="B34" s="1">
        <v>45882</v>
      </c>
      <c r="C34" t="s">
        <v>22</v>
      </c>
      <c r="D34" t="s">
        <v>8</v>
      </c>
      <c r="E34" s="1">
        <v>45884</v>
      </c>
      <c r="F34" s="1">
        <v>45884</v>
      </c>
      <c r="G34">
        <v>1026</v>
      </c>
      <c r="H34">
        <v>174.3</v>
      </c>
    </row>
    <row r="35" spans="1:8" customFormat="1" x14ac:dyDescent="0.35">
      <c r="A35" t="s">
        <v>74</v>
      </c>
      <c r="B35" s="1">
        <v>45882</v>
      </c>
      <c r="C35" t="s">
        <v>28</v>
      </c>
      <c r="D35" t="s">
        <v>6</v>
      </c>
      <c r="E35" s="1">
        <v>45883</v>
      </c>
      <c r="F35" s="1">
        <v>45882</v>
      </c>
      <c r="G35">
        <v>669</v>
      </c>
      <c r="H35">
        <v>136.85</v>
      </c>
    </row>
    <row r="36" spans="1:8" customFormat="1" x14ac:dyDescent="0.35">
      <c r="A36" t="s">
        <v>75</v>
      </c>
      <c r="B36" s="1">
        <v>45882</v>
      </c>
      <c r="C36" t="s">
        <v>28</v>
      </c>
      <c r="D36" t="s">
        <v>12</v>
      </c>
      <c r="E36" s="1">
        <v>45883</v>
      </c>
      <c r="F36" s="1">
        <v>45883</v>
      </c>
      <c r="G36">
        <v>2154</v>
      </c>
      <c r="H36">
        <v>351.66</v>
      </c>
    </row>
    <row r="37" spans="1:8" customFormat="1" x14ac:dyDescent="0.35">
      <c r="A37" t="s">
        <v>76</v>
      </c>
      <c r="B37" s="1">
        <v>45883</v>
      </c>
      <c r="C37" t="s">
        <v>31</v>
      </c>
      <c r="D37" t="s">
        <v>6</v>
      </c>
      <c r="E37" s="1">
        <v>45885</v>
      </c>
      <c r="F37" s="1">
        <v>45885</v>
      </c>
      <c r="G37">
        <v>36</v>
      </c>
      <c r="H37">
        <v>38.53</v>
      </c>
    </row>
    <row r="38" spans="1:8" customFormat="1" x14ac:dyDescent="0.35">
      <c r="A38" t="s">
        <v>77</v>
      </c>
      <c r="B38" s="1">
        <v>45883</v>
      </c>
      <c r="C38" t="s">
        <v>25</v>
      </c>
      <c r="D38" t="s">
        <v>12</v>
      </c>
      <c r="E38" s="1">
        <v>45885</v>
      </c>
      <c r="F38" s="1">
        <v>45885</v>
      </c>
      <c r="G38">
        <v>321</v>
      </c>
      <c r="H38">
        <v>80.930000000000007</v>
      </c>
    </row>
    <row r="39" spans="1:8" customFormat="1" x14ac:dyDescent="0.35">
      <c r="A39" t="s">
        <v>78</v>
      </c>
      <c r="B39" s="1">
        <v>45883</v>
      </c>
      <c r="C39" t="s">
        <v>19</v>
      </c>
      <c r="D39" t="s">
        <v>8</v>
      </c>
      <c r="E39" s="1">
        <v>45884</v>
      </c>
      <c r="F39" s="1">
        <v>45884</v>
      </c>
      <c r="G39">
        <v>1587</v>
      </c>
      <c r="H39">
        <v>254.64</v>
      </c>
    </row>
    <row r="40" spans="1:8" customFormat="1" x14ac:dyDescent="0.35">
      <c r="A40" t="s">
        <v>79</v>
      </c>
      <c r="B40" s="1">
        <v>45884</v>
      </c>
      <c r="C40" t="s">
        <v>28</v>
      </c>
      <c r="D40" t="s">
        <v>12</v>
      </c>
      <c r="E40" s="1">
        <v>45885</v>
      </c>
      <c r="F40" s="1">
        <v>45886</v>
      </c>
      <c r="G40">
        <v>1831</v>
      </c>
      <c r="H40">
        <v>307.44</v>
      </c>
    </row>
    <row r="41" spans="1:8" customFormat="1" x14ac:dyDescent="0.35">
      <c r="A41" t="s">
        <v>80</v>
      </c>
      <c r="B41" s="1">
        <v>45885</v>
      </c>
      <c r="C41" t="s">
        <v>19</v>
      </c>
      <c r="D41" t="s">
        <v>12</v>
      </c>
      <c r="E41" s="1">
        <v>45886</v>
      </c>
      <c r="F41" s="1">
        <v>45886</v>
      </c>
      <c r="G41">
        <v>654</v>
      </c>
      <c r="H41">
        <v>127.55</v>
      </c>
    </row>
    <row r="42" spans="1:8" customFormat="1" x14ac:dyDescent="0.35">
      <c r="A42" t="s">
        <v>81</v>
      </c>
      <c r="B42" s="1">
        <v>45885</v>
      </c>
      <c r="C42" t="s">
        <v>22</v>
      </c>
      <c r="D42" t="s">
        <v>8</v>
      </c>
      <c r="E42" s="1">
        <v>45886</v>
      </c>
      <c r="F42" s="1">
        <v>45886</v>
      </c>
      <c r="G42">
        <v>698</v>
      </c>
      <c r="H42">
        <v>132.81</v>
      </c>
    </row>
    <row r="43" spans="1:8" customFormat="1" x14ac:dyDescent="0.35">
      <c r="A43" t="s">
        <v>82</v>
      </c>
      <c r="B43" s="1">
        <v>45885</v>
      </c>
      <c r="C43" t="s">
        <v>25</v>
      </c>
      <c r="D43" t="s">
        <v>10</v>
      </c>
      <c r="E43" s="1">
        <v>45887</v>
      </c>
      <c r="F43" s="1">
        <v>45886</v>
      </c>
      <c r="G43">
        <v>2371</v>
      </c>
      <c r="H43">
        <v>378.31</v>
      </c>
    </row>
    <row r="44" spans="1:8" customFormat="1" x14ac:dyDescent="0.35">
      <c r="A44" t="s">
        <v>83</v>
      </c>
      <c r="B44" s="1">
        <v>45885</v>
      </c>
      <c r="C44" t="s">
        <v>25</v>
      </c>
      <c r="D44" t="s">
        <v>4</v>
      </c>
      <c r="E44" s="1">
        <v>45887</v>
      </c>
      <c r="F44" s="1">
        <v>45887</v>
      </c>
      <c r="G44">
        <v>963</v>
      </c>
      <c r="H44">
        <v>185.56</v>
      </c>
    </row>
    <row r="45" spans="1:8" customFormat="1" x14ac:dyDescent="0.35">
      <c r="A45" t="s">
        <v>84</v>
      </c>
      <c r="B45" s="1">
        <v>45886</v>
      </c>
      <c r="C45" t="s">
        <v>25</v>
      </c>
      <c r="D45" t="s">
        <v>10</v>
      </c>
      <c r="E45" s="1">
        <v>45888</v>
      </c>
      <c r="F45" s="1">
        <v>45891</v>
      </c>
      <c r="G45">
        <v>2333</v>
      </c>
      <c r="H45">
        <v>376.35</v>
      </c>
    </row>
    <row r="46" spans="1:8" customFormat="1" x14ac:dyDescent="0.35">
      <c r="A46" t="s">
        <v>85</v>
      </c>
      <c r="B46" s="1">
        <v>45886</v>
      </c>
      <c r="C46" t="s">
        <v>22</v>
      </c>
      <c r="D46" t="s">
        <v>8</v>
      </c>
      <c r="E46" s="1">
        <v>45888</v>
      </c>
      <c r="F46" s="1">
        <v>45888</v>
      </c>
      <c r="G46">
        <v>966</v>
      </c>
      <c r="H46">
        <v>175.16</v>
      </c>
    </row>
    <row r="47" spans="1:8" customFormat="1" x14ac:dyDescent="0.35">
      <c r="A47" t="s">
        <v>86</v>
      </c>
      <c r="B47" s="1">
        <v>45886</v>
      </c>
      <c r="C47" t="s">
        <v>28</v>
      </c>
      <c r="D47" t="s">
        <v>4</v>
      </c>
      <c r="E47" s="1">
        <v>45888</v>
      </c>
      <c r="F47" s="1">
        <v>45888</v>
      </c>
      <c r="G47">
        <v>1822</v>
      </c>
      <c r="H47">
        <v>306.69</v>
      </c>
    </row>
    <row r="48" spans="1:8" customFormat="1" x14ac:dyDescent="0.35">
      <c r="A48" t="s">
        <v>87</v>
      </c>
      <c r="B48" s="1">
        <v>45886</v>
      </c>
      <c r="C48" t="s">
        <v>22</v>
      </c>
      <c r="D48" t="s">
        <v>12</v>
      </c>
      <c r="E48" s="1">
        <v>45888</v>
      </c>
      <c r="F48" s="1">
        <v>45887</v>
      </c>
      <c r="G48">
        <v>1774</v>
      </c>
      <c r="H48">
        <v>292.02</v>
      </c>
    </row>
    <row r="49" spans="1:8" customFormat="1" x14ac:dyDescent="0.35">
      <c r="A49" t="s">
        <v>88</v>
      </c>
      <c r="B49" s="1">
        <v>45887</v>
      </c>
      <c r="C49" t="s">
        <v>31</v>
      </c>
      <c r="D49" t="s">
        <v>8</v>
      </c>
      <c r="E49" s="1">
        <v>45888</v>
      </c>
      <c r="F49" s="1">
        <v>45889</v>
      </c>
      <c r="G49">
        <v>1711</v>
      </c>
      <c r="H49">
        <v>275.68</v>
      </c>
    </row>
    <row r="50" spans="1:8" customFormat="1" x14ac:dyDescent="0.35">
      <c r="A50" t="s">
        <v>89</v>
      </c>
      <c r="B50" s="1">
        <v>45887</v>
      </c>
      <c r="C50" t="s">
        <v>31</v>
      </c>
      <c r="D50" t="s">
        <v>12</v>
      </c>
      <c r="E50" s="1">
        <v>45888</v>
      </c>
      <c r="F50" s="1">
        <v>45888</v>
      </c>
      <c r="G50">
        <v>1483</v>
      </c>
      <c r="H50">
        <v>249.94</v>
      </c>
    </row>
    <row r="51" spans="1:8" customFormat="1" x14ac:dyDescent="0.35">
      <c r="A51" t="s">
        <v>90</v>
      </c>
      <c r="B51" s="1">
        <v>45887</v>
      </c>
      <c r="C51" t="s">
        <v>25</v>
      </c>
      <c r="D51" t="s">
        <v>12</v>
      </c>
      <c r="E51" s="1">
        <v>45888</v>
      </c>
      <c r="F51" s="1">
        <v>45888</v>
      </c>
      <c r="G51">
        <v>1246</v>
      </c>
      <c r="H51">
        <v>210.9</v>
      </c>
    </row>
    <row r="52" spans="1:8" customFormat="1" x14ac:dyDescent="0.35">
      <c r="A52" t="s">
        <v>91</v>
      </c>
      <c r="B52" s="1">
        <v>45888</v>
      </c>
      <c r="C52" t="s">
        <v>31</v>
      </c>
      <c r="D52" t="s">
        <v>10</v>
      </c>
      <c r="E52" s="1">
        <v>45889</v>
      </c>
      <c r="F52" s="1">
        <v>45889</v>
      </c>
      <c r="G52">
        <v>1320</v>
      </c>
      <c r="H52">
        <v>215.32</v>
      </c>
    </row>
    <row r="53" spans="1:8" customFormat="1" x14ac:dyDescent="0.35">
      <c r="A53" t="s">
        <v>92</v>
      </c>
      <c r="B53" s="1">
        <v>45888</v>
      </c>
      <c r="C53" t="s">
        <v>33</v>
      </c>
      <c r="D53" t="s">
        <v>12</v>
      </c>
      <c r="E53" s="1">
        <v>45890</v>
      </c>
      <c r="F53" s="1">
        <v>45890</v>
      </c>
      <c r="G53">
        <v>261</v>
      </c>
      <c r="H53">
        <v>72.489999999999995</v>
      </c>
    </row>
    <row r="54" spans="1:8" customFormat="1" x14ac:dyDescent="0.35">
      <c r="A54" t="s">
        <v>93</v>
      </c>
      <c r="B54" s="1">
        <v>45889</v>
      </c>
      <c r="C54" t="s">
        <v>22</v>
      </c>
      <c r="D54" t="s">
        <v>8</v>
      </c>
      <c r="E54" s="1">
        <v>45891</v>
      </c>
      <c r="F54" s="1">
        <v>45890</v>
      </c>
      <c r="G54">
        <v>2121</v>
      </c>
      <c r="H54">
        <v>336.65</v>
      </c>
    </row>
    <row r="55" spans="1:8" customFormat="1" x14ac:dyDescent="0.35">
      <c r="A55" t="s">
        <v>94</v>
      </c>
      <c r="B55" s="1">
        <v>45889</v>
      </c>
      <c r="C55" t="s">
        <v>33</v>
      </c>
      <c r="D55" t="s">
        <v>10</v>
      </c>
      <c r="E55" s="1">
        <v>45891</v>
      </c>
      <c r="F55" s="1">
        <v>45891</v>
      </c>
      <c r="G55">
        <v>2457</v>
      </c>
      <c r="H55">
        <v>382.66</v>
      </c>
    </row>
    <row r="56" spans="1:8" customFormat="1" x14ac:dyDescent="0.35">
      <c r="A56" t="s">
        <v>95</v>
      </c>
      <c r="B56" s="1">
        <v>45890</v>
      </c>
      <c r="C56" t="s">
        <v>25</v>
      </c>
      <c r="D56" t="s">
        <v>6</v>
      </c>
      <c r="E56" s="1">
        <v>45891</v>
      </c>
      <c r="F56" s="1">
        <v>45891</v>
      </c>
      <c r="G56">
        <v>2303</v>
      </c>
      <c r="H56">
        <v>380.46</v>
      </c>
    </row>
    <row r="57" spans="1:8" customFormat="1" x14ac:dyDescent="0.35">
      <c r="A57" t="s">
        <v>96</v>
      </c>
      <c r="B57" s="1">
        <v>45890</v>
      </c>
      <c r="C57" t="s">
        <v>28</v>
      </c>
      <c r="D57" t="s">
        <v>10</v>
      </c>
      <c r="E57" s="1">
        <v>45892</v>
      </c>
      <c r="F57" s="1">
        <v>45892</v>
      </c>
      <c r="G57">
        <v>2331</v>
      </c>
      <c r="H57">
        <v>365.7</v>
      </c>
    </row>
    <row r="58" spans="1:8" customFormat="1" x14ac:dyDescent="0.35">
      <c r="A58" t="s">
        <v>97</v>
      </c>
      <c r="B58" s="1">
        <v>45891</v>
      </c>
      <c r="C58" t="s">
        <v>33</v>
      </c>
      <c r="D58" t="s">
        <v>12</v>
      </c>
      <c r="E58" s="1">
        <v>45892</v>
      </c>
      <c r="F58" s="1">
        <v>45892</v>
      </c>
      <c r="G58">
        <v>823</v>
      </c>
      <c r="H58">
        <v>152.76</v>
      </c>
    </row>
    <row r="59" spans="1:8" customFormat="1" x14ac:dyDescent="0.35">
      <c r="A59" t="s">
        <v>98</v>
      </c>
      <c r="B59" s="1">
        <v>45891</v>
      </c>
      <c r="C59" t="s">
        <v>25</v>
      </c>
      <c r="D59" t="s">
        <v>12</v>
      </c>
      <c r="E59" s="1">
        <v>45893</v>
      </c>
      <c r="F59" s="1">
        <v>45893</v>
      </c>
      <c r="G59">
        <v>929</v>
      </c>
      <c r="H59">
        <v>163.65</v>
      </c>
    </row>
    <row r="60" spans="1:8" customFormat="1" x14ac:dyDescent="0.35">
      <c r="A60" t="s">
        <v>99</v>
      </c>
      <c r="B60" s="1">
        <v>45892</v>
      </c>
      <c r="C60" t="s">
        <v>28</v>
      </c>
      <c r="D60" t="s">
        <v>8</v>
      </c>
      <c r="E60" s="1">
        <v>45893</v>
      </c>
      <c r="F60" s="1">
        <v>45893</v>
      </c>
      <c r="G60">
        <v>1848</v>
      </c>
      <c r="H60">
        <v>297.11</v>
      </c>
    </row>
    <row r="61" spans="1:8" customFormat="1" x14ac:dyDescent="0.35">
      <c r="A61" t="s">
        <v>100</v>
      </c>
      <c r="B61" s="1">
        <v>45892</v>
      </c>
      <c r="C61" t="s">
        <v>28</v>
      </c>
      <c r="D61" t="s">
        <v>10</v>
      </c>
      <c r="E61" s="1">
        <v>45893</v>
      </c>
      <c r="F61" s="1">
        <v>45893</v>
      </c>
      <c r="G61">
        <v>241</v>
      </c>
      <c r="H61">
        <v>51.5</v>
      </c>
    </row>
    <row r="62" spans="1:8" customFormat="1" x14ac:dyDescent="0.35">
      <c r="A62" t="s">
        <v>101</v>
      </c>
      <c r="B62" s="1">
        <v>45893</v>
      </c>
      <c r="C62" t="s">
        <v>19</v>
      </c>
      <c r="D62" t="s">
        <v>8</v>
      </c>
      <c r="E62" s="1">
        <v>45894</v>
      </c>
      <c r="F62" s="1">
        <v>45894</v>
      </c>
      <c r="G62">
        <v>74</v>
      </c>
      <c r="H62">
        <v>41.92</v>
      </c>
    </row>
    <row r="63" spans="1:8" customFormat="1" x14ac:dyDescent="0.35">
      <c r="A63" t="s">
        <v>102</v>
      </c>
      <c r="B63" s="1">
        <v>45893</v>
      </c>
      <c r="C63" t="s">
        <v>25</v>
      </c>
      <c r="D63" t="s">
        <v>8</v>
      </c>
      <c r="E63" s="1">
        <v>45895</v>
      </c>
      <c r="F63" s="1">
        <v>45895</v>
      </c>
      <c r="G63">
        <v>1393</v>
      </c>
      <c r="H63">
        <v>231.85</v>
      </c>
    </row>
    <row r="64" spans="1:8" customFormat="1" x14ac:dyDescent="0.35">
      <c r="A64" t="s">
        <v>103</v>
      </c>
      <c r="B64" s="1">
        <v>45893</v>
      </c>
      <c r="C64" t="s">
        <v>19</v>
      </c>
      <c r="D64" t="s">
        <v>6</v>
      </c>
      <c r="E64" s="1">
        <v>45894</v>
      </c>
      <c r="F64" s="1">
        <v>45894</v>
      </c>
      <c r="G64">
        <v>1108</v>
      </c>
      <c r="H64">
        <v>201.13</v>
      </c>
    </row>
    <row r="65" spans="1:8" customFormat="1" x14ac:dyDescent="0.35">
      <c r="A65" t="s">
        <v>104</v>
      </c>
      <c r="B65" s="1">
        <v>45894</v>
      </c>
      <c r="C65" t="s">
        <v>33</v>
      </c>
      <c r="D65" t="s">
        <v>8</v>
      </c>
      <c r="E65" s="1">
        <v>45896</v>
      </c>
      <c r="F65" s="1">
        <v>45897</v>
      </c>
      <c r="G65">
        <v>1648</v>
      </c>
      <c r="H65">
        <v>274.75</v>
      </c>
    </row>
    <row r="66" spans="1:8" customFormat="1" x14ac:dyDescent="0.35">
      <c r="A66" t="s">
        <v>105</v>
      </c>
      <c r="B66" s="1">
        <v>45895</v>
      </c>
      <c r="C66" t="s">
        <v>22</v>
      </c>
      <c r="D66" t="s">
        <v>4</v>
      </c>
      <c r="E66" s="1">
        <v>45897</v>
      </c>
      <c r="F66" s="1">
        <v>45896</v>
      </c>
      <c r="G66">
        <v>1581</v>
      </c>
      <c r="H66">
        <v>264.45999999999998</v>
      </c>
    </row>
    <row r="67" spans="1:8" customFormat="1" x14ac:dyDescent="0.35">
      <c r="A67" t="s">
        <v>106</v>
      </c>
      <c r="B67" s="1">
        <v>45896</v>
      </c>
      <c r="C67" t="s">
        <v>33</v>
      </c>
      <c r="D67" t="s">
        <v>8</v>
      </c>
      <c r="E67" s="1">
        <v>45897</v>
      </c>
      <c r="F67" s="1">
        <v>45897</v>
      </c>
      <c r="G67">
        <v>1593</v>
      </c>
      <c r="H67">
        <v>259.61</v>
      </c>
    </row>
    <row r="68" spans="1:8" customFormat="1" x14ac:dyDescent="0.35">
      <c r="A68" t="s">
        <v>107</v>
      </c>
      <c r="B68" s="1">
        <v>45896</v>
      </c>
      <c r="C68" t="s">
        <v>33</v>
      </c>
      <c r="D68" t="s">
        <v>6</v>
      </c>
      <c r="E68" s="1">
        <v>45897</v>
      </c>
      <c r="F68" s="1">
        <v>45897</v>
      </c>
      <c r="G68">
        <v>71</v>
      </c>
      <c r="H68">
        <v>34.909999999999997</v>
      </c>
    </row>
    <row r="69" spans="1:8" customFormat="1" x14ac:dyDescent="0.35">
      <c r="A69" t="s">
        <v>108</v>
      </c>
      <c r="B69" s="1">
        <v>45897</v>
      </c>
      <c r="C69" t="s">
        <v>22</v>
      </c>
      <c r="D69" t="s">
        <v>10</v>
      </c>
      <c r="E69" s="1">
        <v>45899</v>
      </c>
      <c r="F69" s="1">
        <v>45899</v>
      </c>
      <c r="G69">
        <v>1947</v>
      </c>
      <c r="H69">
        <v>316.05</v>
      </c>
    </row>
    <row r="70" spans="1:8" customFormat="1" x14ac:dyDescent="0.35">
      <c r="A70" t="s">
        <v>109</v>
      </c>
      <c r="B70" s="1">
        <v>45897</v>
      </c>
      <c r="C70" t="s">
        <v>19</v>
      </c>
      <c r="D70" t="s">
        <v>8</v>
      </c>
      <c r="E70" s="1">
        <v>45898</v>
      </c>
      <c r="F70" s="1">
        <v>45898</v>
      </c>
      <c r="G70">
        <v>1824</v>
      </c>
      <c r="H70">
        <v>302.45</v>
      </c>
    </row>
    <row r="71" spans="1:8" customFormat="1" x14ac:dyDescent="0.35">
      <c r="A71" t="s">
        <v>110</v>
      </c>
      <c r="B71" s="1">
        <v>45897</v>
      </c>
      <c r="C71" t="s">
        <v>22</v>
      </c>
      <c r="D71" t="s">
        <v>12</v>
      </c>
      <c r="E71" s="1">
        <v>45898</v>
      </c>
      <c r="F71" s="1">
        <v>45898</v>
      </c>
      <c r="G71">
        <v>66</v>
      </c>
      <c r="H71">
        <v>38.950000000000003</v>
      </c>
    </row>
    <row r="72" spans="1:8" customFormat="1" x14ac:dyDescent="0.35">
      <c r="A72" t="s">
        <v>111</v>
      </c>
      <c r="B72" s="1">
        <v>45897</v>
      </c>
      <c r="C72" t="s">
        <v>19</v>
      </c>
      <c r="D72" t="s">
        <v>10</v>
      </c>
      <c r="E72" s="1">
        <v>45898</v>
      </c>
      <c r="F72" s="1">
        <v>45898</v>
      </c>
      <c r="G72">
        <v>1349</v>
      </c>
      <c r="H72">
        <v>217.89</v>
      </c>
    </row>
    <row r="73" spans="1:8" customFormat="1" x14ac:dyDescent="0.35">
      <c r="A73" t="s">
        <v>112</v>
      </c>
      <c r="B73" s="1">
        <v>45898</v>
      </c>
      <c r="C73" t="s">
        <v>25</v>
      </c>
      <c r="D73" t="s">
        <v>8</v>
      </c>
      <c r="E73" s="1">
        <v>45900</v>
      </c>
      <c r="F73" s="1">
        <v>45899</v>
      </c>
      <c r="G73">
        <v>1697</v>
      </c>
      <c r="H73">
        <v>279.44</v>
      </c>
    </row>
    <row r="74" spans="1:8" customFormat="1" x14ac:dyDescent="0.35">
      <c r="A74" t="s">
        <v>113</v>
      </c>
      <c r="B74" s="1">
        <v>45898</v>
      </c>
      <c r="C74" t="s">
        <v>19</v>
      </c>
      <c r="D74" t="s">
        <v>12</v>
      </c>
      <c r="E74" s="1">
        <v>45899</v>
      </c>
      <c r="F74" s="1">
        <v>45898</v>
      </c>
      <c r="G74">
        <v>933</v>
      </c>
      <c r="H74">
        <v>169.04</v>
      </c>
    </row>
    <row r="75" spans="1:8" customFormat="1" x14ac:dyDescent="0.35">
      <c r="A75" t="s">
        <v>114</v>
      </c>
      <c r="B75" s="1">
        <v>45898</v>
      </c>
      <c r="C75" t="s">
        <v>31</v>
      </c>
      <c r="D75" t="s">
        <v>8</v>
      </c>
      <c r="E75" s="1">
        <v>45899</v>
      </c>
      <c r="F75" s="1">
        <v>45900</v>
      </c>
      <c r="G75">
        <v>177</v>
      </c>
      <c r="H75">
        <v>48.43</v>
      </c>
    </row>
    <row r="76" spans="1:8" customFormat="1" x14ac:dyDescent="0.35">
      <c r="A76" t="s">
        <v>115</v>
      </c>
      <c r="B76" s="1">
        <v>45898</v>
      </c>
      <c r="C76" t="s">
        <v>33</v>
      </c>
      <c r="D76" t="s">
        <v>6</v>
      </c>
      <c r="E76" s="1">
        <v>45899</v>
      </c>
      <c r="F76" s="1">
        <v>45898</v>
      </c>
      <c r="G76">
        <v>357</v>
      </c>
      <c r="H76">
        <v>88.96</v>
      </c>
    </row>
    <row r="77" spans="1:8" customFormat="1" x14ac:dyDescent="0.35">
      <c r="A77" t="s">
        <v>116</v>
      </c>
      <c r="B77" s="1">
        <v>45899</v>
      </c>
      <c r="C77" t="s">
        <v>22</v>
      </c>
      <c r="D77" t="s">
        <v>8</v>
      </c>
      <c r="E77" s="1">
        <v>45901</v>
      </c>
      <c r="F77" s="1">
        <v>45900</v>
      </c>
      <c r="G77">
        <v>678</v>
      </c>
      <c r="H77">
        <v>118.89</v>
      </c>
    </row>
    <row r="78" spans="1:8" customFormat="1" x14ac:dyDescent="0.35">
      <c r="A78" t="s">
        <v>117</v>
      </c>
      <c r="B78" s="1">
        <v>45900</v>
      </c>
      <c r="C78" t="s">
        <v>31</v>
      </c>
      <c r="D78" t="s">
        <v>4</v>
      </c>
      <c r="E78" s="1">
        <v>45901</v>
      </c>
      <c r="F78" s="1">
        <v>45900</v>
      </c>
      <c r="G78">
        <v>342</v>
      </c>
      <c r="H78">
        <v>80.16</v>
      </c>
    </row>
    <row r="79" spans="1:8" customFormat="1" x14ac:dyDescent="0.35">
      <c r="A79" t="s">
        <v>118</v>
      </c>
      <c r="B79" s="1">
        <v>45900</v>
      </c>
      <c r="C79" t="s">
        <v>22</v>
      </c>
      <c r="D79" t="s">
        <v>8</v>
      </c>
      <c r="E79" s="1">
        <v>45901</v>
      </c>
      <c r="F79" s="1">
        <v>45902</v>
      </c>
      <c r="G79">
        <v>2138</v>
      </c>
      <c r="H79">
        <v>343.3</v>
      </c>
    </row>
    <row r="80" spans="1:8" customFormat="1" x14ac:dyDescent="0.35">
      <c r="A80" t="s">
        <v>119</v>
      </c>
      <c r="B80" s="1">
        <v>45900</v>
      </c>
      <c r="C80" t="s">
        <v>22</v>
      </c>
      <c r="D80" t="s">
        <v>4</v>
      </c>
      <c r="E80" s="1">
        <v>45902</v>
      </c>
      <c r="F80" s="1">
        <v>45902</v>
      </c>
      <c r="G80">
        <v>2340</v>
      </c>
      <c r="H80">
        <v>387.68</v>
      </c>
    </row>
    <row r="81" spans="1:8" customFormat="1" x14ac:dyDescent="0.35">
      <c r="A81" t="s">
        <v>120</v>
      </c>
      <c r="B81" s="1">
        <v>45901</v>
      </c>
      <c r="C81" t="s">
        <v>22</v>
      </c>
      <c r="D81" t="s">
        <v>6</v>
      </c>
      <c r="E81" s="1">
        <v>45902</v>
      </c>
      <c r="F81" s="1">
        <v>45902</v>
      </c>
      <c r="G81">
        <v>354</v>
      </c>
      <c r="H81">
        <v>83.58</v>
      </c>
    </row>
    <row r="82" spans="1:8" customFormat="1" x14ac:dyDescent="0.35">
      <c r="A82" t="s">
        <v>121</v>
      </c>
      <c r="B82" s="1">
        <v>45901</v>
      </c>
      <c r="C82" t="s">
        <v>33</v>
      </c>
      <c r="D82" t="s">
        <v>8</v>
      </c>
      <c r="E82" s="1">
        <v>45903</v>
      </c>
      <c r="F82" s="1">
        <v>45903</v>
      </c>
      <c r="G82">
        <v>130</v>
      </c>
      <c r="H82">
        <v>50.06</v>
      </c>
    </row>
    <row r="83" spans="1:8" customFormat="1" x14ac:dyDescent="0.35">
      <c r="A83" t="s">
        <v>122</v>
      </c>
      <c r="B83" s="1">
        <v>45903</v>
      </c>
      <c r="C83" t="s">
        <v>25</v>
      </c>
      <c r="D83" t="s">
        <v>10</v>
      </c>
      <c r="E83" s="1">
        <v>45904</v>
      </c>
      <c r="F83" s="1">
        <v>45907</v>
      </c>
      <c r="G83">
        <v>1358</v>
      </c>
      <c r="H83">
        <v>224.86</v>
      </c>
    </row>
    <row r="84" spans="1:8" customFormat="1" x14ac:dyDescent="0.35">
      <c r="A84" t="s">
        <v>123</v>
      </c>
      <c r="B84" s="1">
        <v>45903</v>
      </c>
      <c r="C84" t="s">
        <v>31</v>
      </c>
      <c r="D84" t="s">
        <v>10</v>
      </c>
      <c r="E84" s="1">
        <v>45904</v>
      </c>
      <c r="F84" s="1">
        <v>45906</v>
      </c>
      <c r="G84">
        <v>1129</v>
      </c>
      <c r="H84">
        <v>188.82</v>
      </c>
    </row>
    <row r="85" spans="1:8" customFormat="1" x14ac:dyDescent="0.35">
      <c r="A85" t="s">
        <v>124</v>
      </c>
      <c r="B85" s="1">
        <v>45903</v>
      </c>
      <c r="C85" t="s">
        <v>25</v>
      </c>
      <c r="D85" t="s">
        <v>4</v>
      </c>
      <c r="E85" s="1">
        <v>45905</v>
      </c>
      <c r="F85" s="1">
        <v>45907</v>
      </c>
      <c r="G85">
        <v>163</v>
      </c>
      <c r="H85">
        <v>57.86</v>
      </c>
    </row>
    <row r="86" spans="1:8" customFormat="1" x14ac:dyDescent="0.35">
      <c r="A86" t="s">
        <v>125</v>
      </c>
      <c r="B86" s="1">
        <v>45904</v>
      </c>
      <c r="C86" t="s">
        <v>22</v>
      </c>
      <c r="D86" t="s">
        <v>8</v>
      </c>
      <c r="E86" s="1">
        <v>45906</v>
      </c>
      <c r="F86" s="1">
        <v>45906</v>
      </c>
      <c r="G86">
        <v>2488</v>
      </c>
      <c r="H86">
        <v>391.9</v>
      </c>
    </row>
    <row r="87" spans="1:8" customFormat="1" x14ac:dyDescent="0.35">
      <c r="A87" t="s">
        <v>126</v>
      </c>
      <c r="B87" s="1">
        <v>45904</v>
      </c>
      <c r="C87" t="s">
        <v>19</v>
      </c>
      <c r="D87" t="s">
        <v>12</v>
      </c>
      <c r="E87" s="1">
        <v>45905</v>
      </c>
      <c r="F87" s="1">
        <v>45905</v>
      </c>
      <c r="G87">
        <v>209</v>
      </c>
      <c r="H87">
        <v>58.92</v>
      </c>
    </row>
    <row r="88" spans="1:8" customFormat="1" x14ac:dyDescent="0.35">
      <c r="A88" t="s">
        <v>127</v>
      </c>
      <c r="B88" s="1">
        <v>45904</v>
      </c>
      <c r="C88" t="s">
        <v>28</v>
      </c>
      <c r="D88" t="s">
        <v>6</v>
      </c>
      <c r="E88" s="1">
        <v>45905</v>
      </c>
      <c r="F88" s="1">
        <v>45905</v>
      </c>
      <c r="G88">
        <v>1456</v>
      </c>
      <c r="H88">
        <v>247.9</v>
      </c>
    </row>
    <row r="89" spans="1:8" customFormat="1" x14ac:dyDescent="0.35">
      <c r="A89" t="s">
        <v>128</v>
      </c>
      <c r="B89" s="1">
        <v>45905</v>
      </c>
      <c r="C89" t="s">
        <v>33</v>
      </c>
      <c r="D89" t="s">
        <v>4</v>
      </c>
      <c r="E89" s="1">
        <v>45906</v>
      </c>
      <c r="F89" s="1">
        <v>45905</v>
      </c>
      <c r="G89">
        <v>93</v>
      </c>
      <c r="H89">
        <v>49.77</v>
      </c>
    </row>
    <row r="90" spans="1:8" customFormat="1" x14ac:dyDescent="0.35">
      <c r="A90" t="s">
        <v>129</v>
      </c>
      <c r="B90" s="1">
        <v>45905</v>
      </c>
      <c r="C90" t="s">
        <v>22</v>
      </c>
      <c r="D90" t="s">
        <v>6</v>
      </c>
      <c r="E90" s="1">
        <v>45907</v>
      </c>
      <c r="F90" s="1">
        <v>45908</v>
      </c>
      <c r="G90">
        <v>1864</v>
      </c>
      <c r="H90">
        <v>305.43</v>
      </c>
    </row>
    <row r="91" spans="1:8" customFormat="1" x14ac:dyDescent="0.35">
      <c r="A91" t="s">
        <v>130</v>
      </c>
      <c r="B91" s="1">
        <v>45905</v>
      </c>
      <c r="C91" t="s">
        <v>28</v>
      </c>
      <c r="D91" t="s">
        <v>8</v>
      </c>
      <c r="E91" s="1">
        <v>45906</v>
      </c>
      <c r="F91" s="1">
        <v>45908</v>
      </c>
      <c r="G91">
        <v>440</v>
      </c>
      <c r="H91">
        <v>88.35</v>
      </c>
    </row>
    <row r="92" spans="1:8" customFormat="1" x14ac:dyDescent="0.35">
      <c r="A92" t="s">
        <v>131</v>
      </c>
      <c r="B92" s="1">
        <v>45906</v>
      </c>
      <c r="C92" t="s">
        <v>33</v>
      </c>
      <c r="D92" t="s">
        <v>4</v>
      </c>
      <c r="E92" s="1">
        <v>45907</v>
      </c>
      <c r="F92" s="1">
        <v>45907</v>
      </c>
      <c r="G92">
        <v>1798</v>
      </c>
      <c r="H92">
        <v>310.82</v>
      </c>
    </row>
    <row r="93" spans="1:8" customFormat="1" x14ac:dyDescent="0.35">
      <c r="A93" t="s">
        <v>132</v>
      </c>
      <c r="B93" s="1">
        <v>45907</v>
      </c>
      <c r="C93" t="s">
        <v>19</v>
      </c>
      <c r="D93" t="s">
        <v>10</v>
      </c>
      <c r="E93" s="1">
        <v>45908</v>
      </c>
      <c r="F93" s="1">
        <v>45909</v>
      </c>
      <c r="G93">
        <v>1096</v>
      </c>
      <c r="H93">
        <v>179.64</v>
      </c>
    </row>
    <row r="94" spans="1:8" customFormat="1" x14ac:dyDescent="0.35">
      <c r="A94" t="s">
        <v>133</v>
      </c>
      <c r="B94" s="1">
        <v>45907</v>
      </c>
      <c r="C94" t="s">
        <v>31</v>
      </c>
      <c r="D94" t="s">
        <v>4</v>
      </c>
      <c r="E94" s="1">
        <v>45908</v>
      </c>
      <c r="F94" s="1">
        <v>45910</v>
      </c>
      <c r="G94">
        <v>1254</v>
      </c>
      <c r="H94">
        <v>215.88</v>
      </c>
    </row>
    <row r="95" spans="1:8" customFormat="1" x14ac:dyDescent="0.35">
      <c r="A95" t="s">
        <v>134</v>
      </c>
      <c r="B95" s="1">
        <v>45907</v>
      </c>
      <c r="C95" t="s">
        <v>33</v>
      </c>
      <c r="D95" t="s">
        <v>4</v>
      </c>
      <c r="E95" s="1">
        <v>45908</v>
      </c>
      <c r="F95" s="1">
        <v>45908</v>
      </c>
      <c r="G95">
        <v>845</v>
      </c>
      <c r="H95">
        <v>158.35</v>
      </c>
    </row>
    <row r="96" spans="1:8" customFormat="1" x14ac:dyDescent="0.35">
      <c r="A96" t="s">
        <v>135</v>
      </c>
      <c r="B96" s="1">
        <v>45907</v>
      </c>
      <c r="C96" t="s">
        <v>22</v>
      </c>
      <c r="D96" t="s">
        <v>12</v>
      </c>
      <c r="E96" s="1">
        <v>45908</v>
      </c>
      <c r="F96" s="1">
        <v>45908</v>
      </c>
      <c r="G96">
        <v>1373</v>
      </c>
      <c r="H96">
        <v>234.4</v>
      </c>
    </row>
    <row r="97" spans="1:8" customFormat="1" x14ac:dyDescent="0.35">
      <c r="A97" t="s">
        <v>136</v>
      </c>
      <c r="B97" s="1">
        <v>45907</v>
      </c>
      <c r="C97" t="s">
        <v>28</v>
      </c>
      <c r="D97" t="s">
        <v>12</v>
      </c>
      <c r="E97" s="1">
        <v>45909</v>
      </c>
      <c r="F97" s="1">
        <v>45909</v>
      </c>
      <c r="G97">
        <v>1723</v>
      </c>
      <c r="H97">
        <v>290.5</v>
      </c>
    </row>
    <row r="98" spans="1:8" customFormat="1" x14ac:dyDescent="0.35">
      <c r="A98" t="s">
        <v>137</v>
      </c>
      <c r="B98" s="1">
        <v>45907</v>
      </c>
      <c r="C98" t="s">
        <v>19</v>
      </c>
      <c r="D98" t="s">
        <v>12</v>
      </c>
      <c r="E98" s="1">
        <v>45908</v>
      </c>
      <c r="F98" s="1">
        <v>45909</v>
      </c>
      <c r="G98">
        <v>257</v>
      </c>
      <c r="H98">
        <v>76.680000000000007</v>
      </c>
    </row>
    <row r="99" spans="1:8" customFormat="1" x14ac:dyDescent="0.35">
      <c r="A99" t="s">
        <v>138</v>
      </c>
      <c r="B99" s="1">
        <v>45907</v>
      </c>
      <c r="C99" t="s">
        <v>25</v>
      </c>
      <c r="D99" t="s">
        <v>12</v>
      </c>
      <c r="E99" s="1">
        <v>45908</v>
      </c>
      <c r="F99" s="1">
        <v>45908</v>
      </c>
      <c r="G99">
        <v>2494</v>
      </c>
      <c r="H99">
        <v>399.3</v>
      </c>
    </row>
    <row r="100" spans="1:8" customFormat="1" x14ac:dyDescent="0.35">
      <c r="A100" t="s">
        <v>139</v>
      </c>
      <c r="B100" s="1">
        <v>45907</v>
      </c>
      <c r="C100" t="s">
        <v>25</v>
      </c>
      <c r="D100" t="s">
        <v>4</v>
      </c>
      <c r="E100" s="1">
        <v>45909</v>
      </c>
      <c r="F100" s="1">
        <v>45909</v>
      </c>
      <c r="G100">
        <v>1067</v>
      </c>
      <c r="H100">
        <v>200.88</v>
      </c>
    </row>
    <row r="101" spans="1:8" customFormat="1" x14ac:dyDescent="0.35">
      <c r="A101" t="s">
        <v>140</v>
      </c>
      <c r="B101" s="1">
        <v>45908</v>
      </c>
      <c r="C101" t="s">
        <v>28</v>
      </c>
      <c r="D101" t="s">
        <v>12</v>
      </c>
      <c r="E101" s="1">
        <v>45909</v>
      </c>
      <c r="F101" s="1">
        <v>45913</v>
      </c>
      <c r="G101">
        <v>70</v>
      </c>
      <c r="H101">
        <v>48.93</v>
      </c>
    </row>
    <row r="102" spans="1:8" customFormat="1" x14ac:dyDescent="0.35">
      <c r="A102" t="s">
        <v>141</v>
      </c>
      <c r="B102" s="1">
        <v>45908</v>
      </c>
      <c r="C102" t="s">
        <v>33</v>
      </c>
      <c r="D102" t="s">
        <v>4</v>
      </c>
      <c r="E102" s="1">
        <v>45909</v>
      </c>
      <c r="F102" s="1">
        <v>45909</v>
      </c>
      <c r="G102">
        <v>957</v>
      </c>
      <c r="H102">
        <v>171.07</v>
      </c>
    </row>
    <row r="103" spans="1:8" customFormat="1" x14ac:dyDescent="0.35">
      <c r="A103" t="s">
        <v>142</v>
      </c>
      <c r="B103" s="1">
        <v>45909</v>
      </c>
      <c r="C103" t="s">
        <v>31</v>
      </c>
      <c r="D103" t="s">
        <v>8</v>
      </c>
      <c r="E103" s="1">
        <v>45910</v>
      </c>
      <c r="F103" s="1">
        <v>45910</v>
      </c>
      <c r="G103">
        <v>744</v>
      </c>
      <c r="H103">
        <v>131.35</v>
      </c>
    </row>
    <row r="104" spans="1:8" customFormat="1" x14ac:dyDescent="0.35">
      <c r="A104" t="s">
        <v>143</v>
      </c>
      <c r="B104" s="1">
        <v>45909</v>
      </c>
      <c r="C104" t="s">
        <v>31</v>
      </c>
      <c r="D104" t="s">
        <v>8</v>
      </c>
      <c r="E104" s="1">
        <v>45911</v>
      </c>
      <c r="F104" s="1">
        <v>45910</v>
      </c>
      <c r="G104">
        <v>1672</v>
      </c>
      <c r="H104">
        <v>272.49</v>
      </c>
    </row>
    <row r="105" spans="1:8" customFormat="1" x14ac:dyDescent="0.35">
      <c r="A105" t="s">
        <v>144</v>
      </c>
      <c r="B105" s="1">
        <v>45910</v>
      </c>
      <c r="C105" t="s">
        <v>31</v>
      </c>
      <c r="D105" t="s">
        <v>12</v>
      </c>
      <c r="E105" s="1">
        <v>45911</v>
      </c>
      <c r="F105" s="1">
        <v>45911</v>
      </c>
      <c r="G105">
        <v>329</v>
      </c>
      <c r="H105">
        <v>83.51</v>
      </c>
    </row>
    <row r="106" spans="1:8" customFormat="1" x14ac:dyDescent="0.35">
      <c r="A106" t="s">
        <v>145</v>
      </c>
      <c r="B106" s="1">
        <v>45910</v>
      </c>
      <c r="C106" t="s">
        <v>33</v>
      </c>
      <c r="D106" t="s">
        <v>12</v>
      </c>
      <c r="E106" s="1">
        <v>45912</v>
      </c>
      <c r="F106" s="1">
        <v>45911</v>
      </c>
      <c r="G106">
        <v>2198</v>
      </c>
      <c r="H106">
        <v>353.87</v>
      </c>
    </row>
    <row r="107" spans="1:8" customFormat="1" x14ac:dyDescent="0.35">
      <c r="A107" t="s">
        <v>146</v>
      </c>
      <c r="B107" s="1">
        <v>45911</v>
      </c>
      <c r="C107" t="s">
        <v>25</v>
      </c>
      <c r="D107" t="s">
        <v>6</v>
      </c>
      <c r="E107" s="1">
        <v>45912</v>
      </c>
      <c r="F107" s="1">
        <v>45911</v>
      </c>
      <c r="G107">
        <v>1383</v>
      </c>
      <c r="H107">
        <v>241.07</v>
      </c>
    </row>
    <row r="108" spans="1:8" customFormat="1" x14ac:dyDescent="0.35">
      <c r="A108" t="s">
        <v>147</v>
      </c>
      <c r="B108" s="1">
        <v>45911</v>
      </c>
      <c r="C108" t="s">
        <v>31</v>
      </c>
      <c r="D108" t="s">
        <v>10</v>
      </c>
      <c r="E108" s="1">
        <v>45913</v>
      </c>
      <c r="F108" s="1">
        <v>45915</v>
      </c>
      <c r="G108">
        <v>262</v>
      </c>
      <c r="H108">
        <v>64.98</v>
      </c>
    </row>
    <row r="109" spans="1:8" customFormat="1" x14ac:dyDescent="0.35">
      <c r="A109" t="s">
        <v>148</v>
      </c>
      <c r="B109" s="1">
        <v>45911</v>
      </c>
      <c r="C109" t="s">
        <v>33</v>
      </c>
      <c r="D109" t="s">
        <v>4</v>
      </c>
      <c r="E109" s="1">
        <v>45912</v>
      </c>
      <c r="F109" s="1">
        <v>45912</v>
      </c>
      <c r="G109">
        <v>1959</v>
      </c>
      <c r="H109">
        <v>321.19</v>
      </c>
    </row>
    <row r="110" spans="1:8" customFormat="1" x14ac:dyDescent="0.35">
      <c r="A110" t="s">
        <v>149</v>
      </c>
      <c r="B110" s="1">
        <v>45912</v>
      </c>
      <c r="C110" t="s">
        <v>33</v>
      </c>
      <c r="D110" t="s">
        <v>10</v>
      </c>
      <c r="E110" s="1">
        <v>45913</v>
      </c>
      <c r="F110" s="1">
        <v>45913</v>
      </c>
      <c r="G110">
        <v>749</v>
      </c>
      <c r="H110">
        <v>133.78</v>
      </c>
    </row>
    <row r="111" spans="1:8" customFormat="1" x14ac:dyDescent="0.35">
      <c r="A111" t="s">
        <v>150</v>
      </c>
      <c r="B111" s="1">
        <v>45912</v>
      </c>
      <c r="C111" t="s">
        <v>19</v>
      </c>
      <c r="D111" t="s">
        <v>6</v>
      </c>
      <c r="E111" s="1">
        <v>45913</v>
      </c>
      <c r="F111" s="1">
        <v>45912</v>
      </c>
      <c r="G111">
        <v>883</v>
      </c>
      <c r="H111">
        <v>167.17</v>
      </c>
    </row>
    <row r="112" spans="1:8" customFormat="1" x14ac:dyDescent="0.35">
      <c r="A112" t="s">
        <v>151</v>
      </c>
      <c r="B112" s="1">
        <v>45912</v>
      </c>
      <c r="C112" t="s">
        <v>25</v>
      </c>
      <c r="D112" t="s">
        <v>12</v>
      </c>
      <c r="E112" s="1">
        <v>45914</v>
      </c>
      <c r="F112" s="1">
        <v>45913</v>
      </c>
      <c r="G112">
        <v>39</v>
      </c>
      <c r="H112">
        <v>38.42</v>
      </c>
    </row>
    <row r="113" spans="1:8" customFormat="1" x14ac:dyDescent="0.35">
      <c r="A113" t="s">
        <v>152</v>
      </c>
      <c r="B113" s="1">
        <v>45912</v>
      </c>
      <c r="C113" t="s">
        <v>22</v>
      </c>
      <c r="D113" t="s">
        <v>12</v>
      </c>
      <c r="E113" s="1">
        <v>45913</v>
      </c>
      <c r="F113" s="1">
        <v>45912</v>
      </c>
      <c r="G113">
        <v>552</v>
      </c>
      <c r="H113">
        <v>115.94</v>
      </c>
    </row>
    <row r="114" spans="1:8" customFormat="1" x14ac:dyDescent="0.35">
      <c r="A114" t="s">
        <v>153</v>
      </c>
      <c r="B114" s="1">
        <v>45912</v>
      </c>
      <c r="C114" t="s">
        <v>31</v>
      </c>
      <c r="D114" t="s">
        <v>10</v>
      </c>
      <c r="E114" s="1">
        <v>45913</v>
      </c>
      <c r="F114" s="1">
        <v>45913</v>
      </c>
      <c r="G114">
        <v>2018</v>
      </c>
      <c r="H114">
        <v>320.72000000000003</v>
      </c>
    </row>
    <row r="115" spans="1:8" customFormat="1" x14ac:dyDescent="0.35">
      <c r="A115" t="s">
        <v>154</v>
      </c>
      <c r="B115" s="1">
        <v>45912</v>
      </c>
      <c r="C115" t="s">
        <v>19</v>
      </c>
      <c r="D115" t="s">
        <v>6</v>
      </c>
      <c r="E115" s="1">
        <v>45913</v>
      </c>
      <c r="F115" s="1">
        <v>45913</v>
      </c>
      <c r="G115">
        <v>542</v>
      </c>
      <c r="H115">
        <v>115.75</v>
      </c>
    </row>
    <row r="116" spans="1:8" customFormat="1" x14ac:dyDescent="0.35">
      <c r="A116" t="s">
        <v>155</v>
      </c>
      <c r="B116" s="1">
        <v>45913</v>
      </c>
      <c r="C116" t="s">
        <v>31</v>
      </c>
      <c r="D116" t="s">
        <v>6</v>
      </c>
      <c r="E116" s="1">
        <v>45914</v>
      </c>
      <c r="F116" s="1">
        <v>45914</v>
      </c>
      <c r="G116">
        <v>1809</v>
      </c>
      <c r="H116">
        <v>300.95999999999998</v>
      </c>
    </row>
    <row r="117" spans="1:8" customFormat="1" x14ac:dyDescent="0.35">
      <c r="A117" t="s">
        <v>156</v>
      </c>
      <c r="B117" s="1">
        <v>45913</v>
      </c>
      <c r="C117" t="s">
        <v>22</v>
      </c>
      <c r="D117" t="s">
        <v>12</v>
      </c>
      <c r="E117" s="1">
        <v>45914</v>
      </c>
      <c r="F117" s="1">
        <v>45914</v>
      </c>
      <c r="G117">
        <v>1701</v>
      </c>
      <c r="H117">
        <v>290.61</v>
      </c>
    </row>
    <row r="118" spans="1:8" customFormat="1" x14ac:dyDescent="0.35">
      <c r="A118" t="s">
        <v>157</v>
      </c>
      <c r="B118" s="1">
        <v>45914</v>
      </c>
      <c r="C118" t="s">
        <v>19</v>
      </c>
      <c r="D118" t="s">
        <v>8</v>
      </c>
      <c r="E118" s="1">
        <v>45916</v>
      </c>
      <c r="F118" s="1">
        <v>45916</v>
      </c>
      <c r="G118">
        <v>2163</v>
      </c>
      <c r="H118">
        <v>347.01</v>
      </c>
    </row>
    <row r="119" spans="1:8" customFormat="1" x14ac:dyDescent="0.35">
      <c r="A119" t="s">
        <v>158</v>
      </c>
      <c r="B119" s="1">
        <v>45914</v>
      </c>
      <c r="C119" t="s">
        <v>28</v>
      </c>
      <c r="D119" t="s">
        <v>4</v>
      </c>
      <c r="E119" s="1">
        <v>45916</v>
      </c>
      <c r="F119" s="1">
        <v>45915</v>
      </c>
      <c r="G119">
        <v>729</v>
      </c>
      <c r="H119">
        <v>137.63999999999999</v>
      </c>
    </row>
    <row r="120" spans="1:8" customFormat="1" x14ac:dyDescent="0.35">
      <c r="A120" t="s">
        <v>159</v>
      </c>
      <c r="B120" s="1">
        <v>45914</v>
      </c>
      <c r="C120" t="s">
        <v>33</v>
      </c>
      <c r="D120" t="s">
        <v>10</v>
      </c>
      <c r="E120" s="1">
        <v>45915</v>
      </c>
      <c r="F120" s="1">
        <v>45914</v>
      </c>
      <c r="G120">
        <v>2025</v>
      </c>
      <c r="H120">
        <v>318.51</v>
      </c>
    </row>
    <row r="121" spans="1:8" customFormat="1" x14ac:dyDescent="0.35">
      <c r="A121" t="s">
        <v>160</v>
      </c>
      <c r="B121" s="1">
        <v>45915</v>
      </c>
      <c r="C121" t="s">
        <v>25</v>
      </c>
      <c r="D121" t="s">
        <v>8</v>
      </c>
      <c r="E121" s="1">
        <v>45917</v>
      </c>
      <c r="F121" s="1">
        <v>45920</v>
      </c>
      <c r="G121">
        <v>2117</v>
      </c>
      <c r="H121">
        <v>346.32</v>
      </c>
    </row>
    <row r="122" spans="1:8" customFormat="1" x14ac:dyDescent="0.35">
      <c r="A122" t="s">
        <v>161</v>
      </c>
      <c r="B122" s="1">
        <v>45915</v>
      </c>
      <c r="C122" t="s">
        <v>33</v>
      </c>
      <c r="D122" t="s">
        <v>8</v>
      </c>
      <c r="E122" s="1">
        <v>45917</v>
      </c>
      <c r="F122" s="1">
        <v>45918</v>
      </c>
      <c r="G122">
        <v>287</v>
      </c>
      <c r="H122">
        <v>64.709999999999994</v>
      </c>
    </row>
    <row r="123" spans="1:8" customFormat="1" x14ac:dyDescent="0.35">
      <c r="A123" t="s">
        <v>162</v>
      </c>
      <c r="B123" s="1">
        <v>45915</v>
      </c>
      <c r="C123" t="s">
        <v>33</v>
      </c>
      <c r="D123" t="s">
        <v>12</v>
      </c>
      <c r="E123" s="1">
        <v>45917</v>
      </c>
      <c r="F123" s="1">
        <v>45917</v>
      </c>
      <c r="G123">
        <v>1959</v>
      </c>
      <c r="H123">
        <v>328.14</v>
      </c>
    </row>
    <row r="124" spans="1:8" customFormat="1" x14ac:dyDescent="0.35">
      <c r="A124" t="s">
        <v>163</v>
      </c>
      <c r="B124" s="1">
        <v>45915</v>
      </c>
      <c r="C124" t="s">
        <v>25</v>
      </c>
      <c r="D124" t="s">
        <v>6</v>
      </c>
      <c r="E124" s="1">
        <v>45916</v>
      </c>
      <c r="F124" s="1">
        <v>45918</v>
      </c>
      <c r="G124">
        <v>1868</v>
      </c>
      <c r="H124">
        <v>314.36</v>
      </c>
    </row>
    <row r="125" spans="1:8" customFormat="1" x14ac:dyDescent="0.35">
      <c r="A125" t="s">
        <v>164</v>
      </c>
      <c r="B125" s="1">
        <v>45916</v>
      </c>
      <c r="C125" t="s">
        <v>22</v>
      </c>
      <c r="D125" t="s">
        <v>12</v>
      </c>
      <c r="E125" s="1">
        <v>45917</v>
      </c>
      <c r="F125" s="1">
        <v>45917</v>
      </c>
      <c r="G125">
        <v>1113</v>
      </c>
      <c r="H125">
        <v>199.49</v>
      </c>
    </row>
    <row r="126" spans="1:8" customFormat="1" x14ac:dyDescent="0.35">
      <c r="A126" t="s">
        <v>165</v>
      </c>
      <c r="B126" s="1">
        <v>45916</v>
      </c>
      <c r="C126" t="s">
        <v>28</v>
      </c>
      <c r="D126" t="s">
        <v>4</v>
      </c>
      <c r="E126" s="1">
        <v>45917</v>
      </c>
      <c r="F126" s="1">
        <v>45917</v>
      </c>
      <c r="G126">
        <v>128</v>
      </c>
      <c r="H126">
        <v>46.39</v>
      </c>
    </row>
    <row r="127" spans="1:8" customFormat="1" x14ac:dyDescent="0.35">
      <c r="A127" t="s">
        <v>166</v>
      </c>
      <c r="B127" s="1">
        <v>45916</v>
      </c>
      <c r="C127" t="s">
        <v>33</v>
      </c>
      <c r="D127" t="s">
        <v>4</v>
      </c>
      <c r="E127" s="1">
        <v>45917</v>
      </c>
      <c r="F127" s="1">
        <v>45916</v>
      </c>
      <c r="G127">
        <v>2441</v>
      </c>
      <c r="H127">
        <v>396.04</v>
      </c>
    </row>
    <row r="128" spans="1:8" customFormat="1" x14ac:dyDescent="0.35">
      <c r="A128" t="s">
        <v>167</v>
      </c>
      <c r="B128" s="1">
        <v>45916</v>
      </c>
      <c r="C128" t="s">
        <v>25</v>
      </c>
      <c r="D128" t="s">
        <v>8</v>
      </c>
      <c r="E128" s="1">
        <v>45917</v>
      </c>
      <c r="F128" s="1">
        <v>45916</v>
      </c>
      <c r="G128">
        <v>477</v>
      </c>
      <c r="H128">
        <v>98.54</v>
      </c>
    </row>
    <row r="129" spans="1:8" customFormat="1" x14ac:dyDescent="0.35">
      <c r="A129" t="s">
        <v>168</v>
      </c>
      <c r="B129" s="1">
        <v>45916</v>
      </c>
      <c r="C129" t="s">
        <v>22</v>
      </c>
      <c r="D129" t="s">
        <v>12</v>
      </c>
      <c r="E129" s="1">
        <v>45917</v>
      </c>
      <c r="F129" s="1">
        <v>45916</v>
      </c>
      <c r="G129">
        <v>2403</v>
      </c>
      <c r="H129">
        <v>395.41</v>
      </c>
    </row>
    <row r="130" spans="1:8" customFormat="1" x14ac:dyDescent="0.35">
      <c r="A130" t="s">
        <v>169</v>
      </c>
      <c r="B130" s="1">
        <v>45917</v>
      </c>
      <c r="C130" t="s">
        <v>31</v>
      </c>
      <c r="D130" t="s">
        <v>6</v>
      </c>
      <c r="E130" s="1">
        <v>45918</v>
      </c>
      <c r="F130" s="1">
        <v>45918</v>
      </c>
      <c r="G130">
        <v>2479</v>
      </c>
      <c r="H130">
        <v>394.19</v>
      </c>
    </row>
    <row r="131" spans="1:8" customFormat="1" x14ac:dyDescent="0.35">
      <c r="A131" t="s">
        <v>170</v>
      </c>
      <c r="B131" s="1">
        <v>45917</v>
      </c>
      <c r="C131" t="s">
        <v>33</v>
      </c>
      <c r="D131" t="s">
        <v>10</v>
      </c>
      <c r="E131" s="1">
        <v>45919</v>
      </c>
      <c r="F131" s="1">
        <v>45919</v>
      </c>
      <c r="G131">
        <v>1639</v>
      </c>
      <c r="H131">
        <v>262.37</v>
      </c>
    </row>
    <row r="132" spans="1:8" customFormat="1" x14ac:dyDescent="0.35">
      <c r="A132" t="s">
        <v>171</v>
      </c>
      <c r="B132" s="1">
        <v>45917</v>
      </c>
      <c r="C132" t="s">
        <v>25</v>
      </c>
      <c r="D132" t="s">
        <v>12</v>
      </c>
      <c r="E132" s="1">
        <v>45919</v>
      </c>
      <c r="F132" s="1">
        <v>45919</v>
      </c>
      <c r="G132">
        <v>685</v>
      </c>
      <c r="H132">
        <v>135.76</v>
      </c>
    </row>
    <row r="133" spans="1:8" customFormat="1" x14ac:dyDescent="0.35">
      <c r="A133" t="s">
        <v>172</v>
      </c>
      <c r="B133" s="1">
        <v>45917</v>
      </c>
      <c r="C133" t="s">
        <v>25</v>
      </c>
      <c r="D133" t="s">
        <v>8</v>
      </c>
      <c r="E133" s="1">
        <v>45918</v>
      </c>
      <c r="F133" s="1">
        <v>45919</v>
      </c>
      <c r="G133">
        <v>1879</v>
      </c>
      <c r="H133">
        <v>302.33</v>
      </c>
    </row>
    <row r="134" spans="1:8" customFormat="1" x14ac:dyDescent="0.35">
      <c r="A134" t="s">
        <v>173</v>
      </c>
      <c r="B134" s="1">
        <v>45917</v>
      </c>
      <c r="C134" t="s">
        <v>25</v>
      </c>
      <c r="D134" t="s">
        <v>8</v>
      </c>
      <c r="E134" s="1">
        <v>45919</v>
      </c>
      <c r="F134" s="1">
        <v>45919</v>
      </c>
      <c r="G134">
        <v>1760</v>
      </c>
      <c r="H134">
        <v>293.05</v>
      </c>
    </row>
    <row r="135" spans="1:8" customFormat="1" x14ac:dyDescent="0.35">
      <c r="A135" t="s">
        <v>174</v>
      </c>
      <c r="B135" s="1">
        <v>45917</v>
      </c>
      <c r="C135" t="s">
        <v>22</v>
      </c>
      <c r="D135" t="s">
        <v>8</v>
      </c>
      <c r="E135" s="1">
        <v>45918</v>
      </c>
      <c r="F135" s="1">
        <v>45918</v>
      </c>
      <c r="G135">
        <v>1127</v>
      </c>
      <c r="H135">
        <v>193.9</v>
      </c>
    </row>
    <row r="136" spans="1:8" customFormat="1" x14ac:dyDescent="0.35">
      <c r="A136" t="s">
        <v>175</v>
      </c>
      <c r="B136" s="1">
        <v>45918</v>
      </c>
      <c r="C136" t="s">
        <v>31</v>
      </c>
      <c r="D136" t="s">
        <v>4</v>
      </c>
      <c r="E136" s="1">
        <v>45919</v>
      </c>
      <c r="F136" s="1">
        <v>45919</v>
      </c>
      <c r="G136">
        <v>2331</v>
      </c>
      <c r="H136">
        <v>383.28</v>
      </c>
    </row>
    <row r="137" spans="1:8" customFormat="1" x14ac:dyDescent="0.35">
      <c r="A137" t="s">
        <v>176</v>
      </c>
      <c r="B137" s="1">
        <v>45918</v>
      </c>
      <c r="C137" t="s">
        <v>31</v>
      </c>
      <c r="D137" t="s">
        <v>6</v>
      </c>
      <c r="E137" s="1">
        <v>45920</v>
      </c>
      <c r="F137" s="1">
        <v>45920</v>
      </c>
      <c r="G137">
        <v>1333</v>
      </c>
      <c r="H137">
        <v>224.08</v>
      </c>
    </row>
    <row r="138" spans="1:8" customFormat="1" x14ac:dyDescent="0.35">
      <c r="A138" t="s">
        <v>177</v>
      </c>
      <c r="B138" s="1">
        <v>45918</v>
      </c>
      <c r="C138" t="s">
        <v>31</v>
      </c>
      <c r="D138" t="s">
        <v>8</v>
      </c>
      <c r="E138" s="1">
        <v>45919</v>
      </c>
      <c r="F138" s="1">
        <v>45919</v>
      </c>
      <c r="G138">
        <v>331</v>
      </c>
      <c r="H138">
        <v>77.75</v>
      </c>
    </row>
    <row r="139" spans="1:8" customFormat="1" x14ac:dyDescent="0.35">
      <c r="A139" t="s">
        <v>178</v>
      </c>
      <c r="B139" s="1">
        <v>45919</v>
      </c>
      <c r="C139" t="s">
        <v>28</v>
      </c>
      <c r="D139" t="s">
        <v>10</v>
      </c>
      <c r="E139" s="1">
        <v>45921</v>
      </c>
      <c r="F139" s="1">
        <v>45922</v>
      </c>
      <c r="G139">
        <v>481</v>
      </c>
      <c r="H139">
        <v>85.74</v>
      </c>
    </row>
    <row r="140" spans="1:8" customFormat="1" x14ac:dyDescent="0.35">
      <c r="A140" t="s">
        <v>179</v>
      </c>
      <c r="B140" s="1">
        <v>45919</v>
      </c>
      <c r="C140" t="s">
        <v>19</v>
      </c>
      <c r="D140" t="s">
        <v>6</v>
      </c>
      <c r="E140" s="1">
        <v>45920</v>
      </c>
      <c r="F140" s="1">
        <v>45920</v>
      </c>
      <c r="G140">
        <v>1949</v>
      </c>
      <c r="H140">
        <v>326.76</v>
      </c>
    </row>
    <row r="141" spans="1:8" customFormat="1" x14ac:dyDescent="0.35">
      <c r="A141" t="s">
        <v>180</v>
      </c>
      <c r="B141" s="1">
        <v>45919</v>
      </c>
      <c r="C141" t="s">
        <v>28</v>
      </c>
      <c r="D141" t="s">
        <v>12</v>
      </c>
      <c r="E141" s="1">
        <v>45920</v>
      </c>
      <c r="F141" s="1">
        <v>45919</v>
      </c>
      <c r="G141">
        <v>445</v>
      </c>
      <c r="H141">
        <v>92.36</v>
      </c>
    </row>
    <row r="142" spans="1:8" customFormat="1" x14ac:dyDescent="0.35">
      <c r="A142" t="s">
        <v>181</v>
      </c>
      <c r="B142" s="1">
        <v>45920</v>
      </c>
      <c r="C142" t="s">
        <v>25</v>
      </c>
      <c r="D142" t="s">
        <v>6</v>
      </c>
      <c r="E142" s="1">
        <v>45921</v>
      </c>
      <c r="F142" s="1">
        <v>45921</v>
      </c>
      <c r="G142">
        <v>2420</v>
      </c>
      <c r="H142">
        <v>395.11</v>
      </c>
    </row>
    <row r="143" spans="1:8" customFormat="1" x14ac:dyDescent="0.35">
      <c r="A143" t="s">
        <v>182</v>
      </c>
      <c r="B143" s="1">
        <v>45920</v>
      </c>
      <c r="C143" t="s">
        <v>22</v>
      </c>
      <c r="D143" t="s">
        <v>12</v>
      </c>
      <c r="E143" s="1">
        <v>45922</v>
      </c>
      <c r="F143" s="1">
        <v>45922</v>
      </c>
      <c r="G143">
        <v>1810</v>
      </c>
      <c r="H143">
        <v>305.5</v>
      </c>
    </row>
    <row r="144" spans="1:8" customFormat="1" x14ac:dyDescent="0.35">
      <c r="A144" t="s">
        <v>183</v>
      </c>
      <c r="B144" s="1">
        <v>45921</v>
      </c>
      <c r="C144" t="s">
        <v>28</v>
      </c>
      <c r="D144" t="s">
        <v>4</v>
      </c>
      <c r="E144" s="1">
        <v>45923</v>
      </c>
      <c r="F144" s="1">
        <v>45924</v>
      </c>
      <c r="G144">
        <v>642</v>
      </c>
      <c r="H144">
        <v>123.92</v>
      </c>
    </row>
    <row r="145" spans="1:8" customFormat="1" x14ac:dyDescent="0.35">
      <c r="A145" t="s">
        <v>184</v>
      </c>
      <c r="B145" s="1">
        <v>45921</v>
      </c>
      <c r="C145" t="s">
        <v>22</v>
      </c>
      <c r="D145" t="s">
        <v>6</v>
      </c>
      <c r="E145" s="1">
        <v>45923</v>
      </c>
      <c r="F145" s="1">
        <v>45923</v>
      </c>
      <c r="G145">
        <v>239</v>
      </c>
      <c r="H145">
        <v>69.06</v>
      </c>
    </row>
    <row r="146" spans="1:8" customFormat="1" x14ac:dyDescent="0.35">
      <c r="A146" t="s">
        <v>185</v>
      </c>
      <c r="B146" s="1">
        <v>45921</v>
      </c>
      <c r="C146" t="s">
        <v>19</v>
      </c>
      <c r="D146" t="s">
        <v>12</v>
      </c>
      <c r="E146" s="1">
        <v>45922</v>
      </c>
      <c r="F146" s="1">
        <v>45922</v>
      </c>
      <c r="G146">
        <v>1418</v>
      </c>
      <c r="H146">
        <v>249.77</v>
      </c>
    </row>
    <row r="147" spans="1:8" customFormat="1" x14ac:dyDescent="0.35">
      <c r="A147" t="s">
        <v>186</v>
      </c>
      <c r="B147" s="1">
        <v>45921</v>
      </c>
      <c r="C147" t="s">
        <v>25</v>
      </c>
      <c r="D147" t="s">
        <v>6</v>
      </c>
      <c r="E147" s="1">
        <v>45923</v>
      </c>
      <c r="F147" s="1">
        <v>45922</v>
      </c>
      <c r="G147">
        <v>1911</v>
      </c>
      <c r="H147">
        <v>309.14999999999998</v>
      </c>
    </row>
    <row r="148" spans="1:8" customFormat="1" x14ac:dyDescent="0.35">
      <c r="A148" t="s">
        <v>187</v>
      </c>
      <c r="B148" s="1">
        <v>45921</v>
      </c>
      <c r="C148" t="s">
        <v>25</v>
      </c>
      <c r="D148" t="s">
        <v>8</v>
      </c>
      <c r="E148" s="1">
        <v>45923</v>
      </c>
      <c r="F148" s="1">
        <v>45922</v>
      </c>
      <c r="G148">
        <v>1113</v>
      </c>
      <c r="H148">
        <v>190.42</v>
      </c>
    </row>
    <row r="149" spans="1:8" customFormat="1" x14ac:dyDescent="0.35">
      <c r="A149" t="s">
        <v>188</v>
      </c>
      <c r="B149" s="1">
        <v>45922</v>
      </c>
      <c r="C149" t="s">
        <v>22</v>
      </c>
      <c r="D149" t="s">
        <v>4</v>
      </c>
      <c r="E149" s="1">
        <v>45923</v>
      </c>
      <c r="F149" s="1">
        <v>45923</v>
      </c>
      <c r="G149">
        <v>2108</v>
      </c>
      <c r="H149">
        <v>348.82</v>
      </c>
    </row>
    <row r="150" spans="1:8" customFormat="1" x14ac:dyDescent="0.35">
      <c r="A150" t="s">
        <v>189</v>
      </c>
      <c r="B150" s="1">
        <v>45922</v>
      </c>
      <c r="C150" t="s">
        <v>25</v>
      </c>
      <c r="D150" t="s">
        <v>8</v>
      </c>
      <c r="E150" s="1">
        <v>45923</v>
      </c>
      <c r="F150" s="1">
        <v>45923</v>
      </c>
      <c r="G150">
        <v>963</v>
      </c>
      <c r="H150">
        <v>162.19999999999999</v>
      </c>
    </row>
    <row r="151" spans="1:8" customFormat="1" x14ac:dyDescent="0.35">
      <c r="A151" t="s">
        <v>190</v>
      </c>
      <c r="B151" s="1">
        <v>45922</v>
      </c>
      <c r="C151" t="s">
        <v>19</v>
      </c>
      <c r="D151" t="s">
        <v>4</v>
      </c>
      <c r="E151" s="1">
        <v>45923</v>
      </c>
      <c r="F151" s="1">
        <v>45922</v>
      </c>
      <c r="G151">
        <v>1836</v>
      </c>
      <c r="H151">
        <v>302.18</v>
      </c>
    </row>
    <row r="152" spans="1:8" customFormat="1" x14ac:dyDescent="0.35">
      <c r="A152" t="s">
        <v>191</v>
      </c>
      <c r="B152" s="1">
        <v>45923</v>
      </c>
      <c r="C152" t="s">
        <v>28</v>
      </c>
      <c r="D152" t="s">
        <v>6</v>
      </c>
      <c r="E152" s="1">
        <v>45925</v>
      </c>
      <c r="F152" s="1">
        <v>45924</v>
      </c>
      <c r="G152">
        <v>1318</v>
      </c>
      <c r="H152">
        <v>221.97</v>
      </c>
    </row>
    <row r="153" spans="1:8" customFormat="1" x14ac:dyDescent="0.35">
      <c r="A153" t="s">
        <v>192</v>
      </c>
      <c r="B153" s="1">
        <v>45923</v>
      </c>
      <c r="C153" t="s">
        <v>31</v>
      </c>
      <c r="D153" t="s">
        <v>12</v>
      </c>
      <c r="E153" s="1">
        <v>45924</v>
      </c>
      <c r="F153" s="1">
        <v>45924</v>
      </c>
      <c r="G153">
        <v>2048</v>
      </c>
      <c r="H153">
        <v>334.08</v>
      </c>
    </row>
    <row r="154" spans="1:8" customFormat="1" x14ac:dyDescent="0.35">
      <c r="A154" t="s">
        <v>193</v>
      </c>
      <c r="B154" s="1">
        <v>45923</v>
      </c>
      <c r="C154" t="s">
        <v>33</v>
      </c>
      <c r="D154" t="s">
        <v>4</v>
      </c>
      <c r="E154" s="1">
        <v>45925</v>
      </c>
      <c r="F154" s="1">
        <v>45925</v>
      </c>
      <c r="G154">
        <v>464</v>
      </c>
      <c r="H154">
        <v>110.72</v>
      </c>
    </row>
    <row r="155" spans="1:8" customFormat="1" x14ac:dyDescent="0.35">
      <c r="A155" t="s">
        <v>194</v>
      </c>
      <c r="B155" s="1">
        <v>45924</v>
      </c>
      <c r="C155" t="s">
        <v>28</v>
      </c>
      <c r="D155" t="s">
        <v>6</v>
      </c>
      <c r="E155" s="1">
        <v>45925</v>
      </c>
      <c r="F155" s="1">
        <v>45925</v>
      </c>
      <c r="G155">
        <v>1912</v>
      </c>
      <c r="H155">
        <v>309.3</v>
      </c>
    </row>
    <row r="156" spans="1:8" customFormat="1" x14ac:dyDescent="0.35">
      <c r="A156" t="s">
        <v>195</v>
      </c>
      <c r="B156" s="1">
        <v>45924</v>
      </c>
      <c r="C156" t="s">
        <v>22</v>
      </c>
      <c r="D156" t="s">
        <v>10</v>
      </c>
      <c r="E156" s="1">
        <v>45926</v>
      </c>
      <c r="F156" s="1">
        <v>45926</v>
      </c>
      <c r="G156">
        <v>1219</v>
      </c>
      <c r="H156">
        <v>196.43</v>
      </c>
    </row>
    <row r="157" spans="1:8" customFormat="1" x14ac:dyDescent="0.35">
      <c r="A157" t="s">
        <v>196</v>
      </c>
      <c r="B157" s="1">
        <v>45924</v>
      </c>
      <c r="C157" t="s">
        <v>22</v>
      </c>
      <c r="D157" t="s">
        <v>10</v>
      </c>
      <c r="E157" s="1">
        <v>45926</v>
      </c>
      <c r="F157" s="1">
        <v>45926</v>
      </c>
      <c r="G157">
        <v>1280</v>
      </c>
      <c r="H157">
        <v>216.44</v>
      </c>
    </row>
    <row r="158" spans="1:8" customFormat="1" x14ac:dyDescent="0.35">
      <c r="A158" t="s">
        <v>197</v>
      </c>
      <c r="B158" s="1">
        <v>45924</v>
      </c>
      <c r="C158" t="s">
        <v>25</v>
      </c>
      <c r="D158" t="s">
        <v>6</v>
      </c>
      <c r="E158" s="1">
        <v>45926</v>
      </c>
      <c r="F158" s="1">
        <v>45927</v>
      </c>
      <c r="G158">
        <v>587</v>
      </c>
      <c r="H158">
        <v>111.25</v>
      </c>
    </row>
    <row r="159" spans="1:8" customFormat="1" x14ac:dyDescent="0.35">
      <c r="A159" t="s">
        <v>198</v>
      </c>
      <c r="B159" s="1">
        <v>45924</v>
      </c>
      <c r="C159" t="s">
        <v>22</v>
      </c>
      <c r="D159" t="s">
        <v>10</v>
      </c>
      <c r="E159" s="1">
        <v>45926</v>
      </c>
      <c r="F159" s="1">
        <v>45926</v>
      </c>
      <c r="G159">
        <v>2322</v>
      </c>
      <c r="H159">
        <v>367.03</v>
      </c>
    </row>
    <row r="160" spans="1:8" customFormat="1" x14ac:dyDescent="0.35">
      <c r="A160" t="s">
        <v>199</v>
      </c>
      <c r="B160" s="1">
        <v>45924</v>
      </c>
      <c r="C160" t="s">
        <v>22</v>
      </c>
      <c r="D160" t="s">
        <v>8</v>
      </c>
      <c r="E160" s="1">
        <v>45926</v>
      </c>
      <c r="F160" s="1">
        <v>45926</v>
      </c>
      <c r="G160">
        <v>1679</v>
      </c>
      <c r="H160">
        <v>269.94</v>
      </c>
    </row>
    <row r="161" spans="1:8" customFormat="1" x14ac:dyDescent="0.35">
      <c r="A161" t="s">
        <v>200</v>
      </c>
      <c r="B161" s="1">
        <v>45925</v>
      </c>
      <c r="C161" t="s">
        <v>33</v>
      </c>
      <c r="D161" t="s">
        <v>4</v>
      </c>
      <c r="E161" s="1">
        <v>45926</v>
      </c>
      <c r="F161" s="1">
        <v>45926</v>
      </c>
      <c r="G161">
        <v>691</v>
      </c>
      <c r="H161">
        <v>143.41999999999999</v>
      </c>
    </row>
    <row r="162" spans="1:8" customFormat="1" x14ac:dyDescent="0.35">
      <c r="A162" t="s">
        <v>201</v>
      </c>
      <c r="B162" s="1">
        <v>45925</v>
      </c>
      <c r="C162" t="s">
        <v>22</v>
      </c>
      <c r="D162" t="s">
        <v>12</v>
      </c>
      <c r="E162" s="1">
        <v>45926</v>
      </c>
      <c r="F162" s="1">
        <v>45926</v>
      </c>
      <c r="G162">
        <v>583</v>
      </c>
      <c r="H162">
        <v>124.72</v>
      </c>
    </row>
    <row r="163" spans="1:8" customFormat="1" x14ac:dyDescent="0.35">
      <c r="A163" t="s">
        <v>202</v>
      </c>
      <c r="B163" s="1">
        <v>45926</v>
      </c>
      <c r="C163" t="s">
        <v>25</v>
      </c>
      <c r="D163" t="s">
        <v>10</v>
      </c>
      <c r="E163" s="1">
        <v>45928</v>
      </c>
      <c r="F163" s="1">
        <v>45929</v>
      </c>
      <c r="G163">
        <v>2213</v>
      </c>
      <c r="H163">
        <v>348.38</v>
      </c>
    </row>
    <row r="164" spans="1:8" customFormat="1" x14ac:dyDescent="0.35">
      <c r="A164" t="s">
        <v>203</v>
      </c>
      <c r="B164" s="1">
        <v>45926</v>
      </c>
      <c r="C164" t="s">
        <v>33</v>
      </c>
      <c r="D164" t="s">
        <v>4</v>
      </c>
      <c r="E164" s="1">
        <v>45928</v>
      </c>
      <c r="F164" s="1">
        <v>45928</v>
      </c>
      <c r="G164">
        <v>517</v>
      </c>
      <c r="H164">
        <v>104.77</v>
      </c>
    </row>
    <row r="165" spans="1:8" customFormat="1" x14ac:dyDescent="0.35">
      <c r="A165" t="s">
        <v>204</v>
      </c>
      <c r="B165" s="1">
        <v>45927</v>
      </c>
      <c r="C165" t="s">
        <v>22</v>
      </c>
      <c r="D165" t="s">
        <v>10</v>
      </c>
      <c r="E165" s="1">
        <v>45928</v>
      </c>
      <c r="F165" s="1">
        <v>45928</v>
      </c>
      <c r="G165">
        <v>1489</v>
      </c>
      <c r="H165">
        <v>250.61</v>
      </c>
    </row>
    <row r="166" spans="1:8" customFormat="1" x14ac:dyDescent="0.35">
      <c r="A166" t="s">
        <v>205</v>
      </c>
      <c r="B166" s="1">
        <v>45927</v>
      </c>
      <c r="C166" t="s">
        <v>19</v>
      </c>
      <c r="D166" t="s">
        <v>4</v>
      </c>
      <c r="E166" s="1">
        <v>45929</v>
      </c>
      <c r="F166" s="1">
        <v>45928</v>
      </c>
      <c r="G166">
        <v>451</v>
      </c>
      <c r="H166">
        <v>94.64</v>
      </c>
    </row>
    <row r="167" spans="1:8" customFormat="1" x14ac:dyDescent="0.35">
      <c r="A167" t="s">
        <v>206</v>
      </c>
      <c r="B167" s="1">
        <v>45928</v>
      </c>
      <c r="C167" t="s">
        <v>25</v>
      </c>
      <c r="D167" t="s">
        <v>10</v>
      </c>
      <c r="E167" s="1">
        <v>45929</v>
      </c>
      <c r="F167" s="1">
        <v>45929</v>
      </c>
      <c r="G167">
        <v>2003</v>
      </c>
      <c r="H167">
        <v>321.60000000000002</v>
      </c>
    </row>
    <row r="168" spans="1:8" customFormat="1" x14ac:dyDescent="0.35">
      <c r="A168" t="s">
        <v>207</v>
      </c>
      <c r="B168" s="1">
        <v>45929</v>
      </c>
      <c r="C168" t="s">
        <v>25</v>
      </c>
      <c r="D168" t="s">
        <v>6</v>
      </c>
      <c r="E168" s="1">
        <v>45931</v>
      </c>
      <c r="F168" s="1">
        <v>45933</v>
      </c>
      <c r="G168">
        <v>1425</v>
      </c>
      <c r="H168">
        <v>246.43</v>
      </c>
    </row>
    <row r="169" spans="1:8" customFormat="1" x14ac:dyDescent="0.35">
      <c r="A169" t="s">
        <v>208</v>
      </c>
      <c r="B169" s="1">
        <v>45929</v>
      </c>
      <c r="C169" t="s">
        <v>22</v>
      </c>
      <c r="D169" t="s">
        <v>6</v>
      </c>
      <c r="E169" s="1">
        <v>45931</v>
      </c>
      <c r="F169" s="1">
        <v>45931</v>
      </c>
      <c r="G169">
        <v>1851</v>
      </c>
      <c r="H169">
        <v>308.18</v>
      </c>
    </row>
    <row r="170" spans="1:8" customFormat="1" x14ac:dyDescent="0.35">
      <c r="A170" t="s">
        <v>209</v>
      </c>
      <c r="B170" s="1">
        <v>45930</v>
      </c>
      <c r="C170" t="s">
        <v>33</v>
      </c>
      <c r="D170" t="s">
        <v>6</v>
      </c>
      <c r="E170" s="1">
        <v>45932</v>
      </c>
      <c r="F170" s="1">
        <v>45931</v>
      </c>
      <c r="G170">
        <v>1129</v>
      </c>
      <c r="H170">
        <v>197.33</v>
      </c>
    </row>
    <row r="171" spans="1:8" customFormat="1" x14ac:dyDescent="0.35">
      <c r="A171" t="s">
        <v>210</v>
      </c>
      <c r="B171" s="1">
        <v>45930</v>
      </c>
      <c r="C171" t="s">
        <v>22</v>
      </c>
      <c r="D171" t="s">
        <v>6</v>
      </c>
      <c r="E171" s="1">
        <v>45932</v>
      </c>
      <c r="F171" s="1">
        <v>45932</v>
      </c>
      <c r="G171">
        <v>1763</v>
      </c>
      <c r="H171">
        <v>288.69</v>
      </c>
    </row>
    <row r="172" spans="1:8" customFormat="1" x14ac:dyDescent="0.35">
      <c r="A172" t="s">
        <v>211</v>
      </c>
      <c r="B172" s="1">
        <v>45930</v>
      </c>
      <c r="C172" t="s">
        <v>33</v>
      </c>
      <c r="D172" t="s">
        <v>6</v>
      </c>
      <c r="E172" s="1">
        <v>45932</v>
      </c>
      <c r="F172" s="1">
        <v>45932</v>
      </c>
      <c r="G172">
        <v>1982</v>
      </c>
      <c r="H172">
        <v>329.18</v>
      </c>
    </row>
    <row r="173" spans="1:8" customFormat="1" x14ac:dyDescent="0.35">
      <c r="A173" t="s">
        <v>212</v>
      </c>
      <c r="B173" s="1">
        <v>45930</v>
      </c>
      <c r="C173" t="s">
        <v>31</v>
      </c>
      <c r="D173" t="s">
        <v>4</v>
      </c>
      <c r="E173" s="1">
        <v>45932</v>
      </c>
      <c r="F173" s="1">
        <v>45932</v>
      </c>
      <c r="G173">
        <v>1303</v>
      </c>
      <c r="H173">
        <v>228.08</v>
      </c>
    </row>
    <row r="174" spans="1:8" customFormat="1" x14ac:dyDescent="0.35">
      <c r="A174" t="s">
        <v>213</v>
      </c>
      <c r="B174" s="1">
        <v>45931</v>
      </c>
      <c r="C174" t="s">
        <v>33</v>
      </c>
      <c r="D174" t="s">
        <v>12</v>
      </c>
      <c r="E174" s="1">
        <v>45933</v>
      </c>
      <c r="F174" s="1">
        <v>45932</v>
      </c>
      <c r="G174">
        <v>873</v>
      </c>
      <c r="H174">
        <v>160.54</v>
      </c>
    </row>
    <row r="175" spans="1:8" customFormat="1" x14ac:dyDescent="0.35">
      <c r="A175" t="s">
        <v>214</v>
      </c>
      <c r="B175" s="1">
        <v>45933</v>
      </c>
      <c r="C175" t="s">
        <v>33</v>
      </c>
      <c r="D175" t="s">
        <v>4</v>
      </c>
      <c r="E175" s="1">
        <v>45934</v>
      </c>
      <c r="F175" s="1">
        <v>45934</v>
      </c>
      <c r="G175">
        <v>737</v>
      </c>
      <c r="H175">
        <v>151.46</v>
      </c>
    </row>
    <row r="176" spans="1:8" customFormat="1" x14ac:dyDescent="0.35">
      <c r="A176" t="s">
        <v>215</v>
      </c>
      <c r="B176" s="1">
        <v>45934</v>
      </c>
      <c r="C176" t="s">
        <v>33</v>
      </c>
      <c r="D176" t="s">
        <v>10</v>
      </c>
      <c r="E176" s="1">
        <v>45935</v>
      </c>
      <c r="F176" s="1">
        <v>45935</v>
      </c>
      <c r="G176">
        <v>1932</v>
      </c>
      <c r="H176">
        <v>310.23</v>
      </c>
    </row>
    <row r="177" spans="1:8" customFormat="1" x14ac:dyDescent="0.35">
      <c r="A177" t="s">
        <v>216</v>
      </c>
      <c r="B177" s="1">
        <v>45934</v>
      </c>
      <c r="C177" t="s">
        <v>22</v>
      </c>
      <c r="D177" t="s">
        <v>12</v>
      </c>
      <c r="E177" s="1">
        <v>45935</v>
      </c>
      <c r="F177" s="1">
        <v>45937</v>
      </c>
      <c r="G177">
        <v>1342</v>
      </c>
      <c r="H177">
        <v>238.16</v>
      </c>
    </row>
    <row r="178" spans="1:8" customFormat="1" x14ac:dyDescent="0.35">
      <c r="A178" t="s">
        <v>217</v>
      </c>
      <c r="B178" s="1">
        <v>45934</v>
      </c>
      <c r="C178" t="s">
        <v>28</v>
      </c>
      <c r="D178" t="s">
        <v>6</v>
      </c>
      <c r="E178" s="1">
        <v>45936</v>
      </c>
      <c r="F178" s="1">
        <v>45936</v>
      </c>
      <c r="G178">
        <v>1432</v>
      </c>
      <c r="H178">
        <v>248.63</v>
      </c>
    </row>
    <row r="179" spans="1:8" customFormat="1" x14ac:dyDescent="0.35">
      <c r="A179" t="s">
        <v>218</v>
      </c>
      <c r="B179" s="1">
        <v>45935</v>
      </c>
      <c r="C179" t="s">
        <v>33</v>
      </c>
      <c r="D179" t="s">
        <v>10</v>
      </c>
      <c r="E179" s="1">
        <v>45936</v>
      </c>
      <c r="F179" s="1">
        <v>45936</v>
      </c>
      <c r="G179">
        <v>1743</v>
      </c>
      <c r="H179">
        <v>289.17</v>
      </c>
    </row>
    <row r="180" spans="1:8" customFormat="1" x14ac:dyDescent="0.35">
      <c r="A180" t="s">
        <v>219</v>
      </c>
      <c r="B180" s="1">
        <v>45935</v>
      </c>
      <c r="C180" t="s">
        <v>25</v>
      </c>
      <c r="D180" t="s">
        <v>4</v>
      </c>
      <c r="E180" s="1">
        <v>45937</v>
      </c>
      <c r="F180" s="1">
        <v>45937</v>
      </c>
      <c r="G180">
        <v>13</v>
      </c>
      <c r="H180">
        <v>39</v>
      </c>
    </row>
    <row r="181" spans="1:8" customFormat="1" x14ac:dyDescent="0.35">
      <c r="A181" t="s">
        <v>220</v>
      </c>
      <c r="B181" s="1">
        <v>45936</v>
      </c>
      <c r="C181" t="s">
        <v>22</v>
      </c>
      <c r="D181" t="s">
        <v>4</v>
      </c>
      <c r="E181" s="1">
        <v>45937</v>
      </c>
      <c r="F181" s="1">
        <v>45938</v>
      </c>
      <c r="G181">
        <v>140</v>
      </c>
      <c r="H181">
        <v>56.07</v>
      </c>
    </row>
    <row r="182" spans="1:8" customFormat="1" x14ac:dyDescent="0.35">
      <c r="A182" t="s">
        <v>221</v>
      </c>
      <c r="B182" s="1">
        <v>45937</v>
      </c>
      <c r="C182" t="s">
        <v>31</v>
      </c>
      <c r="D182" t="s">
        <v>8</v>
      </c>
      <c r="E182" s="1">
        <v>45939</v>
      </c>
      <c r="F182" s="1">
        <v>45938</v>
      </c>
      <c r="G182">
        <v>1983</v>
      </c>
      <c r="H182">
        <v>328.36</v>
      </c>
    </row>
    <row r="183" spans="1:8" customFormat="1" x14ac:dyDescent="0.35">
      <c r="A183" t="s">
        <v>222</v>
      </c>
      <c r="B183" s="1">
        <v>45937</v>
      </c>
      <c r="C183" t="s">
        <v>22</v>
      </c>
      <c r="D183" t="s">
        <v>6</v>
      </c>
      <c r="E183" s="1">
        <v>45939</v>
      </c>
      <c r="F183" s="1">
        <v>45939</v>
      </c>
      <c r="G183">
        <v>1618</v>
      </c>
      <c r="H183">
        <v>271.79000000000002</v>
      </c>
    </row>
    <row r="184" spans="1:8" customFormat="1" x14ac:dyDescent="0.35">
      <c r="A184" t="s">
        <v>223</v>
      </c>
      <c r="B184" s="1">
        <v>45937</v>
      </c>
      <c r="C184" t="s">
        <v>28</v>
      </c>
      <c r="D184" t="s">
        <v>12</v>
      </c>
      <c r="E184" s="1">
        <v>45939</v>
      </c>
      <c r="F184" s="1">
        <v>45939</v>
      </c>
      <c r="G184">
        <v>1939</v>
      </c>
      <c r="H184">
        <v>329.07</v>
      </c>
    </row>
    <row r="185" spans="1:8" customFormat="1" x14ac:dyDescent="0.35">
      <c r="A185" t="s">
        <v>224</v>
      </c>
      <c r="B185" s="1">
        <v>45938</v>
      </c>
      <c r="C185" t="s">
        <v>25</v>
      </c>
      <c r="D185" t="s">
        <v>4</v>
      </c>
      <c r="E185" s="1">
        <v>45939</v>
      </c>
      <c r="F185" s="1">
        <v>45938</v>
      </c>
      <c r="G185">
        <v>1164</v>
      </c>
      <c r="H185">
        <v>210.17</v>
      </c>
    </row>
    <row r="186" spans="1:8" customFormat="1" x14ac:dyDescent="0.35">
      <c r="A186" t="s">
        <v>225</v>
      </c>
      <c r="B186" s="1">
        <v>45938</v>
      </c>
      <c r="C186" t="s">
        <v>28</v>
      </c>
      <c r="D186" t="s">
        <v>6</v>
      </c>
      <c r="E186" s="1">
        <v>45940</v>
      </c>
      <c r="F186" s="1">
        <v>45940</v>
      </c>
      <c r="G186">
        <v>1852</v>
      </c>
      <c r="H186">
        <v>312.26</v>
      </c>
    </row>
    <row r="187" spans="1:8" customFormat="1" x14ac:dyDescent="0.35">
      <c r="A187" t="s">
        <v>226</v>
      </c>
      <c r="B187" s="1">
        <v>45939</v>
      </c>
      <c r="C187" t="s">
        <v>19</v>
      </c>
      <c r="D187" t="s">
        <v>8</v>
      </c>
      <c r="E187" s="1">
        <v>45941</v>
      </c>
      <c r="F187" s="1">
        <v>45941</v>
      </c>
      <c r="G187">
        <v>1104</v>
      </c>
      <c r="H187">
        <v>194.31</v>
      </c>
    </row>
    <row r="188" spans="1:8" customFormat="1" x14ac:dyDescent="0.35">
      <c r="A188" t="s">
        <v>227</v>
      </c>
      <c r="B188" s="1">
        <v>45939</v>
      </c>
      <c r="C188" t="s">
        <v>19</v>
      </c>
      <c r="D188" t="s">
        <v>6</v>
      </c>
      <c r="E188" s="1">
        <v>45941</v>
      </c>
      <c r="F188" s="1">
        <v>45941</v>
      </c>
      <c r="G188">
        <v>2485</v>
      </c>
      <c r="H188">
        <v>408.45</v>
      </c>
    </row>
    <row r="189" spans="1:8" customFormat="1" x14ac:dyDescent="0.35">
      <c r="A189" t="s">
        <v>228</v>
      </c>
      <c r="B189" s="1">
        <v>45939</v>
      </c>
      <c r="C189" t="s">
        <v>19</v>
      </c>
      <c r="D189" t="s">
        <v>10</v>
      </c>
      <c r="E189" s="1">
        <v>45941</v>
      </c>
      <c r="F189" s="1">
        <v>45941</v>
      </c>
      <c r="G189">
        <v>910</v>
      </c>
      <c r="H189">
        <v>163.05000000000001</v>
      </c>
    </row>
    <row r="190" spans="1:8" customFormat="1" x14ac:dyDescent="0.35">
      <c r="A190" t="s">
        <v>229</v>
      </c>
      <c r="B190" s="1">
        <v>45939</v>
      </c>
      <c r="C190" t="s">
        <v>19</v>
      </c>
      <c r="D190" t="s">
        <v>8</v>
      </c>
      <c r="E190" s="1">
        <v>45941</v>
      </c>
      <c r="F190" s="1">
        <v>45940</v>
      </c>
      <c r="G190">
        <v>182</v>
      </c>
      <c r="H190">
        <v>58.16</v>
      </c>
    </row>
    <row r="191" spans="1:8" customFormat="1" x14ac:dyDescent="0.35">
      <c r="A191" t="s">
        <v>230</v>
      </c>
      <c r="B191" s="1">
        <v>45940</v>
      </c>
      <c r="C191" t="s">
        <v>19</v>
      </c>
      <c r="D191" t="s">
        <v>8</v>
      </c>
      <c r="E191" s="1">
        <v>45942</v>
      </c>
      <c r="F191" s="1">
        <v>45941</v>
      </c>
      <c r="G191">
        <v>1931</v>
      </c>
      <c r="H191">
        <v>312.77999999999997</v>
      </c>
    </row>
    <row r="192" spans="1:8" customFormat="1" x14ac:dyDescent="0.35">
      <c r="A192" t="s">
        <v>231</v>
      </c>
      <c r="B192" s="1">
        <v>45940</v>
      </c>
      <c r="C192" t="s">
        <v>31</v>
      </c>
      <c r="D192" t="s">
        <v>10</v>
      </c>
      <c r="E192" s="1">
        <v>45942</v>
      </c>
      <c r="F192" s="1">
        <v>45942</v>
      </c>
      <c r="G192">
        <v>719</v>
      </c>
      <c r="H192">
        <v>129.41999999999999</v>
      </c>
    </row>
    <row r="193" spans="1:8" customFormat="1" x14ac:dyDescent="0.35">
      <c r="A193" t="s">
        <v>232</v>
      </c>
      <c r="B193" s="1">
        <v>45940</v>
      </c>
      <c r="C193" t="s">
        <v>22</v>
      </c>
      <c r="D193" t="s">
        <v>6</v>
      </c>
      <c r="E193" s="1">
        <v>45941</v>
      </c>
      <c r="F193" s="1">
        <v>45943</v>
      </c>
      <c r="G193">
        <v>71</v>
      </c>
      <c r="H193">
        <v>46.28</v>
      </c>
    </row>
    <row r="194" spans="1:8" customFormat="1" x14ac:dyDescent="0.35">
      <c r="A194" t="s">
        <v>233</v>
      </c>
      <c r="B194" s="1">
        <v>45941</v>
      </c>
      <c r="C194" t="s">
        <v>33</v>
      </c>
      <c r="D194" t="s">
        <v>8</v>
      </c>
      <c r="E194" s="1">
        <v>45942</v>
      </c>
      <c r="F194" s="1">
        <v>45941</v>
      </c>
      <c r="G194">
        <v>1743</v>
      </c>
      <c r="H194">
        <v>289.69</v>
      </c>
    </row>
    <row r="195" spans="1:8" customFormat="1" x14ac:dyDescent="0.35">
      <c r="A195" t="s">
        <v>234</v>
      </c>
      <c r="B195" s="1">
        <v>45941</v>
      </c>
      <c r="C195" t="s">
        <v>22</v>
      </c>
      <c r="D195" t="s">
        <v>6</v>
      </c>
      <c r="E195" s="1">
        <v>45942</v>
      </c>
      <c r="F195" s="1">
        <v>45942</v>
      </c>
      <c r="G195">
        <v>2454</v>
      </c>
      <c r="H195">
        <v>397.93</v>
      </c>
    </row>
    <row r="196" spans="1:8" customFormat="1" x14ac:dyDescent="0.35">
      <c r="A196" t="s">
        <v>235</v>
      </c>
      <c r="B196" s="1">
        <v>45942</v>
      </c>
      <c r="C196" t="s">
        <v>19</v>
      </c>
      <c r="D196" t="s">
        <v>4</v>
      </c>
      <c r="E196" s="1">
        <v>45943</v>
      </c>
      <c r="F196" s="1">
        <v>45943</v>
      </c>
      <c r="G196">
        <v>2341</v>
      </c>
      <c r="H196">
        <v>391.47</v>
      </c>
    </row>
    <row r="197" spans="1:8" customFormat="1" x14ac:dyDescent="0.35">
      <c r="A197" t="s">
        <v>236</v>
      </c>
      <c r="B197" s="1">
        <v>45942</v>
      </c>
      <c r="C197" t="s">
        <v>25</v>
      </c>
      <c r="D197" t="s">
        <v>8</v>
      </c>
      <c r="E197" s="1">
        <v>45944</v>
      </c>
      <c r="F197" s="1">
        <v>45943</v>
      </c>
      <c r="G197">
        <v>1988</v>
      </c>
      <c r="H197">
        <v>319.82</v>
      </c>
    </row>
    <row r="198" spans="1:8" customFormat="1" x14ac:dyDescent="0.35">
      <c r="A198" t="s">
        <v>237</v>
      </c>
      <c r="B198" s="1">
        <v>45942</v>
      </c>
      <c r="C198" t="s">
        <v>33</v>
      </c>
      <c r="D198" t="s">
        <v>6</v>
      </c>
      <c r="E198" s="1">
        <v>45944</v>
      </c>
      <c r="F198" s="1">
        <v>45945</v>
      </c>
      <c r="G198">
        <v>331</v>
      </c>
      <c r="H198">
        <v>77.77</v>
      </c>
    </row>
    <row r="199" spans="1:8" customFormat="1" x14ac:dyDescent="0.35">
      <c r="A199" t="s">
        <v>238</v>
      </c>
      <c r="B199" s="1">
        <v>45943</v>
      </c>
      <c r="C199" t="s">
        <v>25</v>
      </c>
      <c r="D199" t="s">
        <v>8</v>
      </c>
      <c r="E199" s="1">
        <v>45945</v>
      </c>
      <c r="F199" s="1">
        <v>45944</v>
      </c>
      <c r="G199">
        <v>1527</v>
      </c>
      <c r="H199">
        <v>253.17</v>
      </c>
    </row>
    <row r="200" spans="1:8" customFormat="1" x14ac:dyDescent="0.35">
      <c r="A200" t="s">
        <v>239</v>
      </c>
      <c r="B200" s="1">
        <v>45943</v>
      </c>
      <c r="C200" t="s">
        <v>33</v>
      </c>
      <c r="D200" t="s">
        <v>12</v>
      </c>
      <c r="E200" s="1">
        <v>45944</v>
      </c>
      <c r="F200" s="1">
        <v>45943</v>
      </c>
      <c r="G200">
        <v>2290</v>
      </c>
      <c r="H200">
        <v>381.63</v>
      </c>
    </row>
    <row r="201" spans="1:8" customFormat="1" x14ac:dyDescent="0.35">
      <c r="A201" t="s">
        <v>240</v>
      </c>
      <c r="B201" s="1">
        <v>45944</v>
      </c>
      <c r="C201" t="s">
        <v>25</v>
      </c>
      <c r="D201" t="s">
        <v>4</v>
      </c>
      <c r="E201" s="1">
        <v>45946</v>
      </c>
      <c r="F201" s="1">
        <v>45945</v>
      </c>
      <c r="G201">
        <v>1821</v>
      </c>
      <c r="H201">
        <v>309.49</v>
      </c>
    </row>
    <row r="202" spans="1:8" customFormat="1" x14ac:dyDescent="0.35">
      <c r="A202" t="s">
        <v>241</v>
      </c>
      <c r="B202" s="1">
        <v>45944</v>
      </c>
      <c r="C202" t="s">
        <v>33</v>
      </c>
      <c r="D202" t="s">
        <v>10</v>
      </c>
      <c r="E202" s="1">
        <v>45946</v>
      </c>
      <c r="F202" s="1">
        <v>45948</v>
      </c>
      <c r="G202">
        <v>959</v>
      </c>
      <c r="H202">
        <v>158.04</v>
      </c>
    </row>
    <row r="203" spans="1:8" customFormat="1" x14ac:dyDescent="0.35">
      <c r="A203" t="s">
        <v>242</v>
      </c>
      <c r="B203" s="1">
        <v>45944</v>
      </c>
      <c r="C203" t="s">
        <v>28</v>
      </c>
      <c r="D203" t="s">
        <v>12</v>
      </c>
      <c r="E203" s="1">
        <v>45946</v>
      </c>
      <c r="F203" s="1">
        <v>45947</v>
      </c>
      <c r="G203">
        <v>1528</v>
      </c>
      <c r="H203">
        <v>254.3</v>
      </c>
    </row>
    <row r="204" spans="1:8" customFormat="1" x14ac:dyDescent="0.35">
      <c r="A204" t="s">
        <v>243</v>
      </c>
      <c r="B204" s="1">
        <v>45944</v>
      </c>
      <c r="C204" t="s">
        <v>33</v>
      </c>
      <c r="D204" t="s">
        <v>4</v>
      </c>
      <c r="E204" s="1">
        <v>45946</v>
      </c>
      <c r="F204" s="1">
        <v>45946</v>
      </c>
      <c r="G204">
        <v>1694</v>
      </c>
      <c r="H204">
        <v>285.14999999999998</v>
      </c>
    </row>
    <row r="205" spans="1:8" customFormat="1" x14ac:dyDescent="0.35">
      <c r="A205" t="s">
        <v>244</v>
      </c>
      <c r="B205" s="1">
        <v>45944</v>
      </c>
      <c r="C205" t="s">
        <v>22</v>
      </c>
      <c r="D205" t="s">
        <v>4</v>
      </c>
      <c r="E205" s="1">
        <v>45946</v>
      </c>
      <c r="F205" s="1">
        <v>45946</v>
      </c>
      <c r="G205">
        <v>1837</v>
      </c>
      <c r="H205">
        <v>306.38</v>
      </c>
    </row>
    <row r="206" spans="1:8" customFormat="1" x14ac:dyDescent="0.35">
      <c r="A206" t="s">
        <v>245</v>
      </c>
      <c r="B206" s="1">
        <v>45944</v>
      </c>
      <c r="C206" t="s">
        <v>22</v>
      </c>
      <c r="D206" t="s">
        <v>12</v>
      </c>
      <c r="E206" s="1">
        <v>45946</v>
      </c>
      <c r="F206" s="1">
        <v>45946</v>
      </c>
      <c r="G206">
        <v>1884</v>
      </c>
      <c r="H206">
        <v>317.3</v>
      </c>
    </row>
    <row r="207" spans="1:8" customFormat="1" x14ac:dyDescent="0.35">
      <c r="A207" t="s">
        <v>246</v>
      </c>
      <c r="B207" s="1">
        <v>45945</v>
      </c>
      <c r="C207" t="s">
        <v>31</v>
      </c>
      <c r="D207" t="s">
        <v>4</v>
      </c>
      <c r="E207" s="1">
        <v>45947</v>
      </c>
      <c r="F207" s="1">
        <v>45946</v>
      </c>
      <c r="G207">
        <v>542</v>
      </c>
      <c r="H207">
        <v>115.9</v>
      </c>
    </row>
    <row r="208" spans="1:8" customFormat="1" x14ac:dyDescent="0.35">
      <c r="A208" t="s">
        <v>247</v>
      </c>
      <c r="B208" s="1">
        <v>45945</v>
      </c>
      <c r="C208" t="s">
        <v>19</v>
      </c>
      <c r="D208" t="s">
        <v>6</v>
      </c>
      <c r="E208" s="1">
        <v>45947</v>
      </c>
      <c r="F208" s="1">
        <v>45947</v>
      </c>
      <c r="G208">
        <v>1341</v>
      </c>
      <c r="H208">
        <v>228.61</v>
      </c>
    </row>
    <row r="209" spans="1:8" customFormat="1" x14ac:dyDescent="0.35">
      <c r="A209" t="s">
        <v>248</v>
      </c>
      <c r="B209" s="1">
        <v>45945</v>
      </c>
      <c r="C209" t="s">
        <v>25</v>
      </c>
      <c r="D209" t="s">
        <v>10</v>
      </c>
      <c r="E209" s="1">
        <v>45946</v>
      </c>
      <c r="F209" s="1">
        <v>45945</v>
      </c>
      <c r="G209">
        <v>112</v>
      </c>
      <c r="H209">
        <v>36.119999999999997</v>
      </c>
    </row>
    <row r="210" spans="1:8" customFormat="1" x14ac:dyDescent="0.35">
      <c r="A210" t="s">
        <v>249</v>
      </c>
      <c r="B210" s="1">
        <v>45945</v>
      </c>
      <c r="C210" t="s">
        <v>28</v>
      </c>
      <c r="D210" t="s">
        <v>4</v>
      </c>
      <c r="E210" s="1">
        <v>45946</v>
      </c>
      <c r="F210" s="1">
        <v>45946</v>
      </c>
      <c r="G210">
        <v>561</v>
      </c>
      <c r="H210">
        <v>111.1</v>
      </c>
    </row>
    <row r="211" spans="1:8" customFormat="1" x14ac:dyDescent="0.35">
      <c r="A211" t="s">
        <v>250</v>
      </c>
      <c r="B211" s="1">
        <v>45945</v>
      </c>
      <c r="C211" t="s">
        <v>33</v>
      </c>
      <c r="D211" t="s">
        <v>10</v>
      </c>
      <c r="E211" s="1">
        <v>45947</v>
      </c>
      <c r="F211" s="1">
        <v>45948</v>
      </c>
      <c r="G211">
        <v>542</v>
      </c>
      <c r="H211">
        <v>101.69</v>
      </c>
    </row>
    <row r="212" spans="1:8" customFormat="1" x14ac:dyDescent="0.35">
      <c r="A212" t="s">
        <v>251</v>
      </c>
      <c r="B212" s="1">
        <v>45946</v>
      </c>
      <c r="C212" t="s">
        <v>25</v>
      </c>
      <c r="D212" t="s">
        <v>4</v>
      </c>
      <c r="E212" s="1">
        <v>45948</v>
      </c>
      <c r="F212" s="1">
        <v>45948</v>
      </c>
      <c r="G212">
        <v>689</v>
      </c>
      <c r="H212">
        <v>138.41</v>
      </c>
    </row>
    <row r="213" spans="1:8" customFormat="1" x14ac:dyDescent="0.35">
      <c r="A213" t="s">
        <v>252</v>
      </c>
      <c r="B213" s="1">
        <v>45947</v>
      </c>
      <c r="C213" t="s">
        <v>19</v>
      </c>
      <c r="D213" t="s">
        <v>6</v>
      </c>
      <c r="E213" s="1">
        <v>45949</v>
      </c>
      <c r="F213" s="1">
        <v>45949</v>
      </c>
      <c r="G213">
        <v>1989</v>
      </c>
      <c r="H213">
        <v>329.99</v>
      </c>
    </row>
    <row r="214" spans="1:8" customFormat="1" x14ac:dyDescent="0.35">
      <c r="A214" t="s">
        <v>253</v>
      </c>
      <c r="B214" s="1">
        <v>45947</v>
      </c>
      <c r="C214" t="s">
        <v>25</v>
      </c>
      <c r="D214" t="s">
        <v>4</v>
      </c>
      <c r="E214" s="1">
        <v>45949</v>
      </c>
      <c r="F214" s="1">
        <v>45950</v>
      </c>
      <c r="G214">
        <v>361</v>
      </c>
      <c r="H214">
        <v>82.39</v>
      </c>
    </row>
    <row r="215" spans="1:8" customFormat="1" x14ac:dyDescent="0.35">
      <c r="A215" t="s">
        <v>254</v>
      </c>
      <c r="B215" s="1">
        <v>45948</v>
      </c>
      <c r="C215" t="s">
        <v>25</v>
      </c>
      <c r="D215" t="s">
        <v>4</v>
      </c>
      <c r="E215" s="1">
        <v>45950</v>
      </c>
      <c r="F215" s="1">
        <v>45954</v>
      </c>
      <c r="G215">
        <v>646</v>
      </c>
      <c r="H215">
        <v>131.44999999999999</v>
      </c>
    </row>
    <row r="216" spans="1:8" customFormat="1" x14ac:dyDescent="0.35">
      <c r="A216" t="s">
        <v>255</v>
      </c>
      <c r="B216" s="1">
        <v>45949</v>
      </c>
      <c r="C216" t="s">
        <v>19</v>
      </c>
      <c r="D216" t="s">
        <v>8</v>
      </c>
      <c r="E216" s="1">
        <v>45950</v>
      </c>
      <c r="F216" s="1">
        <v>45950</v>
      </c>
      <c r="G216">
        <v>2166</v>
      </c>
      <c r="H216">
        <v>341.87</v>
      </c>
    </row>
    <row r="217" spans="1:8" customFormat="1" x14ac:dyDescent="0.35">
      <c r="A217" t="s">
        <v>256</v>
      </c>
      <c r="B217" s="1">
        <v>45949</v>
      </c>
      <c r="C217" t="s">
        <v>19</v>
      </c>
      <c r="D217" t="s">
        <v>6</v>
      </c>
      <c r="E217" s="1">
        <v>45951</v>
      </c>
      <c r="F217" s="1">
        <v>45951</v>
      </c>
      <c r="G217">
        <v>1243</v>
      </c>
      <c r="H217">
        <v>215.56</v>
      </c>
    </row>
    <row r="218" spans="1:8" customFormat="1" x14ac:dyDescent="0.35">
      <c r="A218" t="s">
        <v>257</v>
      </c>
      <c r="B218" s="1">
        <v>45949</v>
      </c>
      <c r="C218" t="s">
        <v>31</v>
      </c>
      <c r="D218" t="s">
        <v>6</v>
      </c>
      <c r="E218" s="1">
        <v>45950</v>
      </c>
      <c r="F218" s="1">
        <v>45950</v>
      </c>
      <c r="G218">
        <v>2163</v>
      </c>
      <c r="H218">
        <v>358.89</v>
      </c>
    </row>
    <row r="219" spans="1:8" customFormat="1" x14ac:dyDescent="0.35">
      <c r="A219" t="s">
        <v>258</v>
      </c>
      <c r="B219" s="1">
        <v>45950</v>
      </c>
      <c r="C219" t="s">
        <v>33</v>
      </c>
      <c r="D219" t="s">
        <v>6</v>
      </c>
      <c r="E219" s="1">
        <v>45952</v>
      </c>
      <c r="F219" s="1">
        <v>45951</v>
      </c>
      <c r="G219">
        <v>833</v>
      </c>
      <c r="H219">
        <v>158.58000000000001</v>
      </c>
    </row>
    <row r="220" spans="1:8" customFormat="1" x14ac:dyDescent="0.35">
      <c r="A220" t="s">
        <v>259</v>
      </c>
      <c r="B220" s="1">
        <v>45950</v>
      </c>
      <c r="C220" t="s">
        <v>28</v>
      </c>
      <c r="D220" t="s">
        <v>10</v>
      </c>
      <c r="E220" s="1">
        <v>45952</v>
      </c>
      <c r="F220" s="1">
        <v>45952</v>
      </c>
      <c r="G220">
        <v>1186</v>
      </c>
      <c r="H220">
        <v>195.97</v>
      </c>
    </row>
    <row r="221" spans="1:8" customFormat="1" x14ac:dyDescent="0.35">
      <c r="A221" t="s">
        <v>260</v>
      </c>
      <c r="B221" s="1">
        <v>45950</v>
      </c>
      <c r="C221" t="s">
        <v>28</v>
      </c>
      <c r="D221" t="s">
        <v>10</v>
      </c>
      <c r="E221" s="1">
        <v>45951</v>
      </c>
      <c r="F221" s="1">
        <v>45951</v>
      </c>
      <c r="G221">
        <v>550</v>
      </c>
      <c r="H221">
        <v>108.98</v>
      </c>
    </row>
    <row r="222" spans="1:8" customFormat="1" x14ac:dyDescent="0.35">
      <c r="A222" t="s">
        <v>261</v>
      </c>
      <c r="B222" s="1">
        <v>45950</v>
      </c>
      <c r="C222" t="s">
        <v>31</v>
      </c>
      <c r="D222" t="s">
        <v>10</v>
      </c>
      <c r="E222" s="1">
        <v>45952</v>
      </c>
      <c r="F222" s="1">
        <v>45951</v>
      </c>
      <c r="G222">
        <v>2023</v>
      </c>
      <c r="H222">
        <v>321.51</v>
      </c>
    </row>
    <row r="223" spans="1:8" customFormat="1" x14ac:dyDescent="0.35">
      <c r="A223" t="s">
        <v>262</v>
      </c>
      <c r="B223" s="1">
        <v>45950</v>
      </c>
      <c r="C223" t="s">
        <v>19</v>
      </c>
      <c r="D223" t="s">
        <v>8</v>
      </c>
      <c r="E223" s="1">
        <v>45952</v>
      </c>
      <c r="F223" s="1">
        <v>45951</v>
      </c>
      <c r="G223">
        <v>2063</v>
      </c>
      <c r="H223">
        <v>329.99</v>
      </c>
    </row>
    <row r="224" spans="1:8" customFormat="1" x14ac:dyDescent="0.35">
      <c r="A224" t="s">
        <v>263</v>
      </c>
      <c r="B224" s="1">
        <v>45951</v>
      </c>
      <c r="C224" t="s">
        <v>33</v>
      </c>
      <c r="D224" t="s">
        <v>10</v>
      </c>
      <c r="E224" s="1">
        <v>45953</v>
      </c>
      <c r="F224" s="1">
        <v>45952</v>
      </c>
      <c r="G224">
        <v>1388</v>
      </c>
      <c r="H224">
        <v>222.98</v>
      </c>
    </row>
    <row r="225" spans="1:8" customFormat="1" x14ac:dyDescent="0.35">
      <c r="A225" t="s">
        <v>264</v>
      </c>
      <c r="B225" s="1">
        <v>45951</v>
      </c>
      <c r="C225" t="s">
        <v>33</v>
      </c>
      <c r="D225" t="s">
        <v>10</v>
      </c>
      <c r="E225" s="1">
        <v>45952</v>
      </c>
      <c r="F225" s="1">
        <v>45952</v>
      </c>
      <c r="G225">
        <v>1927</v>
      </c>
      <c r="H225">
        <v>310.24</v>
      </c>
    </row>
    <row r="226" spans="1:8" customFormat="1" x14ac:dyDescent="0.35">
      <c r="A226" t="s">
        <v>265</v>
      </c>
      <c r="B226" s="1">
        <v>45951</v>
      </c>
      <c r="C226" t="s">
        <v>28</v>
      </c>
      <c r="D226" t="s">
        <v>12</v>
      </c>
      <c r="E226" s="1">
        <v>45953</v>
      </c>
      <c r="F226" s="1">
        <v>45953</v>
      </c>
      <c r="G226">
        <v>1218</v>
      </c>
      <c r="H226">
        <v>212.11</v>
      </c>
    </row>
    <row r="227" spans="1:8" customFormat="1" x14ac:dyDescent="0.35">
      <c r="A227" t="s">
        <v>266</v>
      </c>
      <c r="B227" s="1">
        <v>45951</v>
      </c>
      <c r="C227" t="s">
        <v>25</v>
      </c>
      <c r="D227" t="s">
        <v>12</v>
      </c>
      <c r="E227" s="1">
        <v>45953</v>
      </c>
      <c r="F227" s="1">
        <v>45952</v>
      </c>
      <c r="G227">
        <v>1669</v>
      </c>
      <c r="H227">
        <v>283.7</v>
      </c>
    </row>
    <row r="228" spans="1:8" customFormat="1" x14ac:dyDescent="0.35">
      <c r="A228" t="s">
        <v>267</v>
      </c>
      <c r="B228" s="1">
        <v>45951</v>
      </c>
      <c r="C228" t="s">
        <v>19</v>
      </c>
      <c r="D228" t="s">
        <v>4</v>
      </c>
      <c r="E228" s="1">
        <v>45953</v>
      </c>
      <c r="F228" s="1">
        <v>45953</v>
      </c>
      <c r="G228">
        <v>1741</v>
      </c>
      <c r="H228">
        <v>302.45</v>
      </c>
    </row>
    <row r="229" spans="1:8" customFormat="1" x14ac:dyDescent="0.35">
      <c r="A229" t="s">
        <v>268</v>
      </c>
      <c r="B229" s="1">
        <v>45952</v>
      </c>
      <c r="C229" t="s">
        <v>31</v>
      </c>
      <c r="D229" t="s">
        <v>12</v>
      </c>
      <c r="E229" s="1">
        <v>45953</v>
      </c>
      <c r="F229" s="1">
        <v>45952</v>
      </c>
      <c r="G229">
        <v>2378</v>
      </c>
      <c r="H229">
        <v>392.05</v>
      </c>
    </row>
    <row r="230" spans="1:8" customFormat="1" x14ac:dyDescent="0.35">
      <c r="A230" t="s">
        <v>269</v>
      </c>
      <c r="B230" s="1">
        <v>45953</v>
      </c>
      <c r="C230" t="s">
        <v>19</v>
      </c>
      <c r="D230" t="s">
        <v>6</v>
      </c>
      <c r="E230" s="1">
        <v>45955</v>
      </c>
      <c r="F230" s="1">
        <v>45955</v>
      </c>
      <c r="G230">
        <v>1852</v>
      </c>
      <c r="H230">
        <v>310.72000000000003</v>
      </c>
    </row>
    <row r="231" spans="1:8" customFormat="1" x14ac:dyDescent="0.35">
      <c r="A231" t="s">
        <v>270</v>
      </c>
      <c r="B231" s="1">
        <v>45955</v>
      </c>
      <c r="C231" t="s">
        <v>31</v>
      </c>
      <c r="D231" t="s">
        <v>12</v>
      </c>
      <c r="E231" s="1">
        <v>45956</v>
      </c>
      <c r="F231" s="1">
        <v>45955</v>
      </c>
      <c r="G231">
        <v>1284</v>
      </c>
      <c r="H231">
        <v>218.12</v>
      </c>
    </row>
    <row r="232" spans="1:8" customFormat="1" x14ac:dyDescent="0.35">
      <c r="A232" t="s">
        <v>271</v>
      </c>
      <c r="B232" s="1">
        <v>45955</v>
      </c>
      <c r="C232" t="s">
        <v>33</v>
      </c>
      <c r="D232" t="s">
        <v>10</v>
      </c>
      <c r="E232" s="1">
        <v>45957</v>
      </c>
      <c r="F232" s="1">
        <v>45957</v>
      </c>
      <c r="G232">
        <v>1454</v>
      </c>
      <c r="H232">
        <v>240.57</v>
      </c>
    </row>
    <row r="233" spans="1:8" customFormat="1" x14ac:dyDescent="0.35">
      <c r="A233" t="s">
        <v>272</v>
      </c>
      <c r="B233" s="1">
        <v>45955</v>
      </c>
      <c r="C233" t="s">
        <v>22</v>
      </c>
      <c r="D233" t="s">
        <v>6</v>
      </c>
      <c r="E233" s="1">
        <v>45956</v>
      </c>
      <c r="F233" s="1">
        <v>45957</v>
      </c>
      <c r="G233">
        <v>1793</v>
      </c>
      <c r="H233">
        <v>293.73</v>
      </c>
    </row>
    <row r="234" spans="1:8" customFormat="1" x14ac:dyDescent="0.35">
      <c r="A234" t="s">
        <v>273</v>
      </c>
      <c r="B234" s="1">
        <v>45955</v>
      </c>
      <c r="C234" t="s">
        <v>25</v>
      </c>
      <c r="D234" t="s">
        <v>6</v>
      </c>
      <c r="E234" s="1">
        <v>45957</v>
      </c>
      <c r="F234" s="1">
        <v>45957</v>
      </c>
      <c r="G234">
        <v>86</v>
      </c>
      <c r="H234">
        <v>47.83</v>
      </c>
    </row>
    <row r="235" spans="1:8" customFormat="1" x14ac:dyDescent="0.35">
      <c r="A235" t="s">
        <v>274</v>
      </c>
      <c r="B235" s="1">
        <v>45956</v>
      </c>
      <c r="C235" t="s">
        <v>31</v>
      </c>
      <c r="D235" t="s">
        <v>6</v>
      </c>
      <c r="E235" s="1">
        <v>45958</v>
      </c>
      <c r="F235" s="1">
        <v>45958</v>
      </c>
      <c r="G235">
        <v>540</v>
      </c>
      <c r="H235">
        <v>111.97</v>
      </c>
    </row>
    <row r="236" spans="1:8" customFormat="1" x14ac:dyDescent="0.35">
      <c r="A236" t="s">
        <v>275</v>
      </c>
      <c r="B236" s="1">
        <v>45956</v>
      </c>
      <c r="C236" t="s">
        <v>19</v>
      </c>
      <c r="D236" t="s">
        <v>8</v>
      </c>
      <c r="E236" s="1">
        <v>45957</v>
      </c>
      <c r="F236" s="1">
        <v>45957</v>
      </c>
      <c r="G236">
        <v>1665</v>
      </c>
      <c r="H236">
        <v>267.99</v>
      </c>
    </row>
    <row r="237" spans="1:8" customFormat="1" x14ac:dyDescent="0.35">
      <c r="A237" t="s">
        <v>276</v>
      </c>
      <c r="B237" s="1">
        <v>45957</v>
      </c>
      <c r="C237" t="s">
        <v>33</v>
      </c>
      <c r="D237" t="s">
        <v>12</v>
      </c>
      <c r="E237" s="1">
        <v>45958</v>
      </c>
      <c r="F237" s="1">
        <v>45958</v>
      </c>
      <c r="G237">
        <v>1069</v>
      </c>
      <c r="H237">
        <v>195.13</v>
      </c>
    </row>
    <row r="238" spans="1:8" customFormat="1" x14ac:dyDescent="0.35">
      <c r="A238" t="s">
        <v>277</v>
      </c>
      <c r="B238" s="1">
        <v>45958</v>
      </c>
      <c r="C238" t="s">
        <v>31</v>
      </c>
      <c r="D238" t="s">
        <v>4</v>
      </c>
      <c r="E238" s="1">
        <v>45959</v>
      </c>
      <c r="F238" s="1">
        <v>45960</v>
      </c>
      <c r="G238">
        <v>2442</v>
      </c>
      <c r="H238">
        <v>399.85</v>
      </c>
    </row>
    <row r="239" spans="1:8" customFormat="1" x14ac:dyDescent="0.35">
      <c r="A239" t="s">
        <v>278</v>
      </c>
      <c r="B239" s="1">
        <v>45959</v>
      </c>
      <c r="C239" t="s">
        <v>28</v>
      </c>
      <c r="D239" t="s">
        <v>12</v>
      </c>
      <c r="E239" s="1">
        <v>45961</v>
      </c>
      <c r="F239" s="1">
        <v>45960</v>
      </c>
      <c r="G239">
        <v>2407</v>
      </c>
      <c r="H239">
        <v>391.49</v>
      </c>
    </row>
    <row r="240" spans="1:8" customFormat="1" x14ac:dyDescent="0.35">
      <c r="A240" t="s">
        <v>279</v>
      </c>
      <c r="B240" s="1">
        <v>45959</v>
      </c>
      <c r="C240" t="s">
        <v>19</v>
      </c>
      <c r="D240" t="s">
        <v>4</v>
      </c>
      <c r="E240" s="1">
        <v>45960</v>
      </c>
      <c r="F240" s="1">
        <v>45963</v>
      </c>
      <c r="G240">
        <v>984</v>
      </c>
      <c r="H240">
        <v>182.93</v>
      </c>
    </row>
    <row r="241" spans="1:8" customFormat="1" x14ac:dyDescent="0.35">
      <c r="A241" t="s">
        <v>280</v>
      </c>
      <c r="B241" s="1">
        <v>45959</v>
      </c>
      <c r="C241" t="s">
        <v>28</v>
      </c>
      <c r="D241" t="s">
        <v>6</v>
      </c>
      <c r="E241" s="1">
        <v>45960</v>
      </c>
      <c r="F241" s="1">
        <v>45960</v>
      </c>
      <c r="G241">
        <v>2039</v>
      </c>
      <c r="H241">
        <v>330.39</v>
      </c>
    </row>
    <row r="242" spans="1:8" customFormat="1" x14ac:dyDescent="0.35">
      <c r="A242" t="s">
        <v>281</v>
      </c>
      <c r="B242" s="1">
        <v>45959</v>
      </c>
      <c r="C242" t="s">
        <v>33</v>
      </c>
      <c r="D242" t="s">
        <v>10</v>
      </c>
      <c r="E242" s="1">
        <v>45961</v>
      </c>
      <c r="F242" s="1">
        <v>45962</v>
      </c>
      <c r="G242">
        <v>1571</v>
      </c>
      <c r="H242">
        <v>260.69</v>
      </c>
    </row>
    <row r="243" spans="1:8" customFormat="1" x14ac:dyDescent="0.35">
      <c r="A243" t="s">
        <v>282</v>
      </c>
      <c r="B243" s="1">
        <v>45959</v>
      </c>
      <c r="C243" t="s">
        <v>33</v>
      </c>
      <c r="D243" t="s">
        <v>12</v>
      </c>
      <c r="E243" s="1">
        <v>45961</v>
      </c>
      <c r="F243" s="1">
        <v>45961</v>
      </c>
      <c r="G243">
        <v>728</v>
      </c>
      <c r="H243">
        <v>138.78</v>
      </c>
    </row>
    <row r="244" spans="1:8" customFormat="1" x14ac:dyDescent="0.35">
      <c r="A244" t="s">
        <v>283</v>
      </c>
      <c r="B244" s="1">
        <v>45959</v>
      </c>
      <c r="C244" t="s">
        <v>19</v>
      </c>
      <c r="D244" t="s">
        <v>8</v>
      </c>
      <c r="E244" s="1">
        <v>45961</v>
      </c>
      <c r="F244" s="1">
        <v>45960</v>
      </c>
      <c r="G244">
        <v>484</v>
      </c>
      <c r="H244">
        <v>90.42</v>
      </c>
    </row>
    <row r="245" spans="1:8" customFormat="1" x14ac:dyDescent="0.35">
      <c r="A245" t="s">
        <v>284</v>
      </c>
      <c r="B245" s="1">
        <v>45959</v>
      </c>
      <c r="C245" t="s">
        <v>33</v>
      </c>
      <c r="D245" t="s">
        <v>10</v>
      </c>
      <c r="E245" s="1">
        <v>45961</v>
      </c>
      <c r="F245" s="1">
        <v>45964</v>
      </c>
      <c r="G245">
        <v>2132</v>
      </c>
      <c r="H245">
        <v>337.34</v>
      </c>
    </row>
    <row r="246" spans="1:8" customFormat="1" x14ac:dyDescent="0.35">
      <c r="A246" t="s">
        <v>285</v>
      </c>
      <c r="B246" s="1">
        <v>45959</v>
      </c>
      <c r="C246" t="s">
        <v>33</v>
      </c>
      <c r="D246" t="s">
        <v>12</v>
      </c>
      <c r="E246" s="1">
        <v>45960</v>
      </c>
      <c r="F246" s="1">
        <v>45960</v>
      </c>
      <c r="G246">
        <v>576</v>
      </c>
      <c r="H246">
        <v>125.02</v>
      </c>
    </row>
    <row r="247" spans="1:8" customFormat="1" x14ac:dyDescent="0.35">
      <c r="A247" t="s">
        <v>286</v>
      </c>
      <c r="B247" s="1">
        <v>45961</v>
      </c>
      <c r="C247" t="s">
        <v>28</v>
      </c>
      <c r="D247" t="s">
        <v>8</v>
      </c>
      <c r="E247" s="1">
        <v>45963</v>
      </c>
      <c r="F247" s="1">
        <v>45963</v>
      </c>
      <c r="G247">
        <v>758</v>
      </c>
      <c r="H247">
        <v>144.31</v>
      </c>
    </row>
    <row r="248" spans="1:8" customFormat="1" x14ac:dyDescent="0.35">
      <c r="A248" t="s">
        <v>287</v>
      </c>
      <c r="B248" s="1">
        <v>45961</v>
      </c>
      <c r="C248" t="s">
        <v>22</v>
      </c>
      <c r="D248" t="s">
        <v>8</v>
      </c>
      <c r="E248" s="1">
        <v>45962</v>
      </c>
      <c r="F248" s="1">
        <v>45962</v>
      </c>
      <c r="G248">
        <v>1485</v>
      </c>
      <c r="H248">
        <v>253.12</v>
      </c>
    </row>
    <row r="249" spans="1:8" customFormat="1" x14ac:dyDescent="0.35">
      <c r="A249" t="s">
        <v>288</v>
      </c>
      <c r="B249" s="1">
        <v>45961</v>
      </c>
      <c r="C249" t="s">
        <v>25</v>
      </c>
      <c r="D249" t="s">
        <v>4</v>
      </c>
      <c r="E249" s="1">
        <v>45962</v>
      </c>
      <c r="F249" s="1">
        <v>45963</v>
      </c>
      <c r="G249">
        <v>616</v>
      </c>
      <c r="H249">
        <v>126.34</v>
      </c>
    </row>
    <row r="250" spans="1:8" customFormat="1" x14ac:dyDescent="0.35">
      <c r="A250" t="s">
        <v>289</v>
      </c>
      <c r="B250" s="1">
        <v>45962</v>
      </c>
      <c r="C250" t="s">
        <v>22</v>
      </c>
      <c r="D250" t="s">
        <v>6</v>
      </c>
      <c r="E250" s="1">
        <v>45963</v>
      </c>
      <c r="F250" s="1">
        <v>45963</v>
      </c>
      <c r="G250">
        <v>996</v>
      </c>
      <c r="H250">
        <v>178.62</v>
      </c>
    </row>
    <row r="251" spans="1:8" customFormat="1" x14ac:dyDescent="0.35">
      <c r="A251" t="s">
        <v>290</v>
      </c>
      <c r="B251" s="1">
        <v>45962</v>
      </c>
      <c r="C251" t="s">
        <v>31</v>
      </c>
      <c r="D251" t="s">
        <v>10</v>
      </c>
      <c r="E251" s="1">
        <v>45964</v>
      </c>
      <c r="F251" s="1">
        <v>45964</v>
      </c>
      <c r="G251">
        <v>545</v>
      </c>
      <c r="H251">
        <v>102.25</v>
      </c>
    </row>
    <row r="252" spans="1:8" customFormat="1" x14ac:dyDescent="0.35">
      <c r="A252" t="s">
        <v>291</v>
      </c>
      <c r="B252" s="1">
        <v>45962</v>
      </c>
      <c r="C252" t="s">
        <v>33</v>
      </c>
      <c r="D252" t="s">
        <v>12</v>
      </c>
      <c r="E252" s="1">
        <v>45963</v>
      </c>
      <c r="F252" s="1">
        <v>45963</v>
      </c>
      <c r="G252">
        <v>2258</v>
      </c>
      <c r="H252">
        <v>369.52</v>
      </c>
    </row>
    <row r="253" spans="1:8" customFormat="1" x14ac:dyDescent="0.35">
      <c r="A253" t="s">
        <v>292</v>
      </c>
      <c r="B253" s="1">
        <v>45962</v>
      </c>
      <c r="C253" t="s">
        <v>19</v>
      </c>
      <c r="D253" t="s">
        <v>6</v>
      </c>
      <c r="E253" s="1">
        <v>45963</v>
      </c>
      <c r="F253" s="1">
        <v>45965</v>
      </c>
      <c r="G253">
        <v>60</v>
      </c>
      <c r="H253">
        <v>37.630000000000003</v>
      </c>
    </row>
    <row r="254" spans="1:8" customFormat="1" x14ac:dyDescent="0.35">
      <c r="A254" t="s">
        <v>293</v>
      </c>
      <c r="B254" s="1">
        <v>45964</v>
      </c>
      <c r="C254" t="s">
        <v>33</v>
      </c>
      <c r="D254" t="s">
        <v>10</v>
      </c>
      <c r="E254" s="1">
        <v>45965</v>
      </c>
      <c r="F254" s="1">
        <v>45966</v>
      </c>
      <c r="G254">
        <v>1261</v>
      </c>
      <c r="H254">
        <v>207.11</v>
      </c>
    </row>
    <row r="255" spans="1:8" customFormat="1" x14ac:dyDescent="0.35">
      <c r="A255" t="s">
        <v>294</v>
      </c>
      <c r="B255" s="1">
        <v>45965</v>
      </c>
      <c r="C255" t="s">
        <v>33</v>
      </c>
      <c r="D255" t="s">
        <v>10</v>
      </c>
      <c r="E255" s="1">
        <v>45967</v>
      </c>
      <c r="F255" s="1">
        <v>45969</v>
      </c>
      <c r="G255">
        <v>818</v>
      </c>
      <c r="H255">
        <v>142.69</v>
      </c>
    </row>
    <row r="256" spans="1:8" customFormat="1" x14ac:dyDescent="0.35">
      <c r="A256" t="s">
        <v>295</v>
      </c>
      <c r="B256" s="1">
        <v>45966</v>
      </c>
      <c r="C256" t="s">
        <v>33</v>
      </c>
      <c r="D256" t="s">
        <v>4</v>
      </c>
      <c r="E256" s="1">
        <v>45967</v>
      </c>
      <c r="F256" s="1">
        <v>45967</v>
      </c>
      <c r="G256">
        <v>74</v>
      </c>
      <c r="H256">
        <v>41.21</v>
      </c>
    </row>
    <row r="257" spans="1:8" customFormat="1" x14ac:dyDescent="0.35">
      <c r="A257" t="s">
        <v>296</v>
      </c>
      <c r="B257" s="1">
        <v>45966</v>
      </c>
      <c r="C257" t="s">
        <v>31</v>
      </c>
      <c r="D257" t="s">
        <v>10</v>
      </c>
      <c r="E257" s="1">
        <v>45968</v>
      </c>
      <c r="F257" s="1">
        <v>45967</v>
      </c>
      <c r="G257">
        <v>524</v>
      </c>
      <c r="H257">
        <v>93.86</v>
      </c>
    </row>
    <row r="258" spans="1:8" customFormat="1" x14ac:dyDescent="0.35">
      <c r="A258" t="s">
        <v>297</v>
      </c>
      <c r="B258" s="1">
        <v>45966</v>
      </c>
      <c r="C258" t="s">
        <v>28</v>
      </c>
      <c r="D258" t="s">
        <v>6</v>
      </c>
      <c r="E258" s="1">
        <v>45968</v>
      </c>
      <c r="F258" s="1">
        <v>45967</v>
      </c>
      <c r="G258">
        <v>1082</v>
      </c>
      <c r="H258">
        <v>187.58</v>
      </c>
    </row>
    <row r="259" spans="1:8" customFormat="1" x14ac:dyDescent="0.35">
      <c r="A259" t="s">
        <v>298</v>
      </c>
      <c r="B259" s="1">
        <v>45967</v>
      </c>
      <c r="C259" t="s">
        <v>31</v>
      </c>
      <c r="D259" t="s">
        <v>10</v>
      </c>
      <c r="E259" s="1">
        <v>45968</v>
      </c>
      <c r="F259" s="1">
        <v>45967</v>
      </c>
      <c r="G259">
        <v>1033</v>
      </c>
      <c r="H259">
        <v>181.32</v>
      </c>
    </row>
    <row r="260" spans="1:8" customFormat="1" x14ac:dyDescent="0.35">
      <c r="A260" t="s">
        <v>299</v>
      </c>
      <c r="B260" s="1">
        <v>45967</v>
      </c>
      <c r="C260" t="s">
        <v>33</v>
      </c>
      <c r="D260" t="s">
        <v>8</v>
      </c>
      <c r="E260" s="1">
        <v>45968</v>
      </c>
      <c r="F260" s="1">
        <v>45967</v>
      </c>
      <c r="G260">
        <v>2421</v>
      </c>
      <c r="H260">
        <v>381.4</v>
      </c>
    </row>
    <row r="261" spans="1:8" customFormat="1" x14ac:dyDescent="0.35">
      <c r="A261" t="s">
        <v>300</v>
      </c>
      <c r="B261" s="1">
        <v>45968</v>
      </c>
      <c r="C261" t="s">
        <v>28</v>
      </c>
      <c r="D261" t="s">
        <v>10</v>
      </c>
      <c r="E261" s="1">
        <v>45969</v>
      </c>
      <c r="F261" s="1">
        <v>45968</v>
      </c>
      <c r="G261">
        <v>2254</v>
      </c>
      <c r="H261">
        <v>363.86</v>
      </c>
    </row>
    <row r="262" spans="1:8" customFormat="1" x14ac:dyDescent="0.35">
      <c r="A262" t="s">
        <v>301</v>
      </c>
      <c r="B262" s="1">
        <v>45968</v>
      </c>
      <c r="C262" t="s">
        <v>22</v>
      </c>
      <c r="D262" t="s">
        <v>8</v>
      </c>
      <c r="E262" s="1">
        <v>45970</v>
      </c>
      <c r="F262" s="1">
        <v>45970</v>
      </c>
      <c r="G262">
        <v>1229</v>
      </c>
      <c r="H262">
        <v>212.32</v>
      </c>
    </row>
    <row r="263" spans="1:8" customFormat="1" x14ac:dyDescent="0.35">
      <c r="A263" t="s">
        <v>302</v>
      </c>
      <c r="B263" s="1">
        <v>45968</v>
      </c>
      <c r="C263" t="s">
        <v>19</v>
      </c>
      <c r="D263" t="s">
        <v>8</v>
      </c>
      <c r="E263" s="1">
        <v>45969</v>
      </c>
      <c r="F263" s="1">
        <v>45969</v>
      </c>
      <c r="G263">
        <v>772</v>
      </c>
      <c r="H263">
        <v>132.41</v>
      </c>
    </row>
    <row r="264" spans="1:8" customFormat="1" x14ac:dyDescent="0.35">
      <c r="A264" t="s">
        <v>303</v>
      </c>
      <c r="B264" s="1">
        <v>45968</v>
      </c>
      <c r="C264" t="s">
        <v>19</v>
      </c>
      <c r="D264" t="s">
        <v>12</v>
      </c>
      <c r="E264" s="1">
        <v>45969</v>
      </c>
      <c r="F264" s="1">
        <v>45968</v>
      </c>
      <c r="G264">
        <v>2224</v>
      </c>
      <c r="H264">
        <v>367.15</v>
      </c>
    </row>
    <row r="265" spans="1:8" customFormat="1" x14ac:dyDescent="0.35">
      <c r="A265" t="s">
        <v>304</v>
      </c>
      <c r="B265" s="1">
        <v>45969</v>
      </c>
      <c r="C265" t="s">
        <v>25</v>
      </c>
      <c r="D265" t="s">
        <v>8</v>
      </c>
      <c r="E265" s="1">
        <v>45971</v>
      </c>
      <c r="F265" s="1">
        <v>45971</v>
      </c>
      <c r="G265">
        <v>566</v>
      </c>
      <c r="H265">
        <v>108.52</v>
      </c>
    </row>
    <row r="266" spans="1:8" customFormat="1" x14ac:dyDescent="0.35">
      <c r="A266" t="s">
        <v>305</v>
      </c>
      <c r="B266" s="1">
        <v>45970</v>
      </c>
      <c r="C266" t="s">
        <v>28</v>
      </c>
      <c r="D266" t="s">
        <v>4</v>
      </c>
      <c r="E266" s="1">
        <v>45971</v>
      </c>
      <c r="F266" s="1">
        <v>45971</v>
      </c>
      <c r="G266">
        <v>1370</v>
      </c>
      <c r="H266">
        <v>244.62</v>
      </c>
    </row>
    <row r="267" spans="1:8" customFormat="1" x14ac:dyDescent="0.35">
      <c r="A267" t="s">
        <v>306</v>
      </c>
      <c r="B267" s="1">
        <v>45970</v>
      </c>
      <c r="C267" t="s">
        <v>25</v>
      </c>
      <c r="D267" t="s">
        <v>4</v>
      </c>
      <c r="E267" s="1">
        <v>45971</v>
      </c>
      <c r="F267" s="1">
        <v>45971</v>
      </c>
      <c r="G267">
        <v>137</v>
      </c>
      <c r="H267">
        <v>59.24</v>
      </c>
    </row>
    <row r="268" spans="1:8" customFormat="1" x14ac:dyDescent="0.35">
      <c r="A268" t="s">
        <v>307</v>
      </c>
      <c r="B268" s="1">
        <v>45972</v>
      </c>
      <c r="C268" t="s">
        <v>25</v>
      </c>
      <c r="D268" t="s">
        <v>12</v>
      </c>
      <c r="E268" s="1">
        <v>45973</v>
      </c>
      <c r="F268" s="1">
        <v>45973</v>
      </c>
      <c r="G268">
        <v>666</v>
      </c>
      <c r="H268">
        <v>124.39</v>
      </c>
    </row>
    <row r="269" spans="1:8" customFormat="1" x14ac:dyDescent="0.35">
      <c r="A269" t="s">
        <v>308</v>
      </c>
      <c r="B269" s="1">
        <v>45972</v>
      </c>
      <c r="C269" t="s">
        <v>31</v>
      </c>
      <c r="D269" t="s">
        <v>4</v>
      </c>
      <c r="E269" s="1">
        <v>45973</v>
      </c>
      <c r="F269" s="1">
        <v>45973</v>
      </c>
      <c r="G269">
        <v>2300</v>
      </c>
      <c r="H269">
        <v>385.23</v>
      </c>
    </row>
    <row r="270" spans="1:8" customFormat="1" x14ac:dyDescent="0.35">
      <c r="A270" t="s">
        <v>309</v>
      </c>
      <c r="B270" s="1">
        <v>45973</v>
      </c>
      <c r="C270" t="s">
        <v>19</v>
      </c>
      <c r="D270" t="s">
        <v>6</v>
      </c>
      <c r="E270" s="1">
        <v>45974</v>
      </c>
      <c r="F270" s="1">
        <v>45973</v>
      </c>
      <c r="G270">
        <v>1641</v>
      </c>
      <c r="H270">
        <v>282.74</v>
      </c>
    </row>
    <row r="271" spans="1:8" customFormat="1" x14ac:dyDescent="0.35">
      <c r="A271" t="s">
        <v>310</v>
      </c>
      <c r="B271" s="1">
        <v>45973</v>
      </c>
      <c r="C271" t="s">
        <v>22</v>
      </c>
      <c r="D271" t="s">
        <v>12</v>
      </c>
      <c r="E271" s="1">
        <v>45975</v>
      </c>
      <c r="F271" s="1">
        <v>45976</v>
      </c>
      <c r="G271">
        <v>331</v>
      </c>
      <c r="H271">
        <v>83.69</v>
      </c>
    </row>
    <row r="272" spans="1:8" customFormat="1" x14ac:dyDescent="0.35">
      <c r="A272" t="s">
        <v>311</v>
      </c>
      <c r="B272" s="1">
        <v>45973</v>
      </c>
      <c r="C272" t="s">
        <v>22</v>
      </c>
      <c r="D272" t="s">
        <v>8</v>
      </c>
      <c r="E272" s="1">
        <v>45974</v>
      </c>
      <c r="F272" s="1">
        <v>45974</v>
      </c>
      <c r="G272">
        <v>604</v>
      </c>
      <c r="H272">
        <v>116.84</v>
      </c>
    </row>
    <row r="273" spans="1:8" customFormat="1" x14ac:dyDescent="0.35">
      <c r="A273" t="s">
        <v>312</v>
      </c>
      <c r="B273" s="1">
        <v>45973</v>
      </c>
      <c r="C273" t="s">
        <v>33</v>
      </c>
      <c r="D273" t="s">
        <v>8</v>
      </c>
      <c r="E273" s="1">
        <v>45975</v>
      </c>
      <c r="F273" s="1">
        <v>45974</v>
      </c>
      <c r="G273">
        <v>2085</v>
      </c>
      <c r="H273">
        <v>337.4</v>
      </c>
    </row>
    <row r="274" spans="1:8" customFormat="1" x14ac:dyDescent="0.35">
      <c r="A274" t="s">
        <v>313</v>
      </c>
      <c r="B274" s="1">
        <v>45973</v>
      </c>
      <c r="C274" t="s">
        <v>25</v>
      </c>
      <c r="D274" t="s">
        <v>10</v>
      </c>
      <c r="E274" s="1">
        <v>45975</v>
      </c>
      <c r="F274" s="1">
        <v>45975</v>
      </c>
      <c r="G274">
        <v>2224</v>
      </c>
      <c r="H274">
        <v>355.05</v>
      </c>
    </row>
    <row r="275" spans="1:8" customFormat="1" x14ac:dyDescent="0.35">
      <c r="A275" t="s">
        <v>314</v>
      </c>
      <c r="B275" s="1">
        <v>45973</v>
      </c>
      <c r="C275" t="s">
        <v>25</v>
      </c>
      <c r="D275" t="s">
        <v>12</v>
      </c>
      <c r="E275" s="1">
        <v>45975</v>
      </c>
      <c r="F275" s="1">
        <v>45976</v>
      </c>
      <c r="G275">
        <v>1778</v>
      </c>
      <c r="H275">
        <v>305.29000000000002</v>
      </c>
    </row>
    <row r="276" spans="1:8" customFormat="1" x14ac:dyDescent="0.35">
      <c r="A276" t="s">
        <v>315</v>
      </c>
      <c r="B276" s="1">
        <v>45974</v>
      </c>
      <c r="C276" t="s">
        <v>31</v>
      </c>
      <c r="D276" t="s">
        <v>4</v>
      </c>
      <c r="E276" s="1">
        <v>45976</v>
      </c>
      <c r="F276" s="1">
        <v>45976</v>
      </c>
      <c r="G276">
        <v>550</v>
      </c>
      <c r="H276">
        <v>116.11</v>
      </c>
    </row>
    <row r="277" spans="1:8" customFormat="1" x14ac:dyDescent="0.35">
      <c r="A277" t="s">
        <v>316</v>
      </c>
      <c r="B277" s="1">
        <v>45975</v>
      </c>
      <c r="C277" t="s">
        <v>19</v>
      </c>
      <c r="D277" t="s">
        <v>12</v>
      </c>
      <c r="E277" s="1">
        <v>45976</v>
      </c>
      <c r="F277" s="1">
        <v>45976</v>
      </c>
      <c r="G277">
        <v>964</v>
      </c>
      <c r="H277">
        <v>173.43</v>
      </c>
    </row>
    <row r="278" spans="1:8" customFormat="1" x14ac:dyDescent="0.35">
      <c r="A278" t="s">
        <v>317</v>
      </c>
      <c r="B278" s="1">
        <v>45975</v>
      </c>
      <c r="C278" t="s">
        <v>33</v>
      </c>
      <c r="D278" t="s">
        <v>12</v>
      </c>
      <c r="E278" s="1">
        <v>45977</v>
      </c>
      <c r="F278" s="1">
        <v>45979</v>
      </c>
      <c r="G278">
        <v>237</v>
      </c>
      <c r="H278">
        <v>66.25</v>
      </c>
    </row>
    <row r="279" spans="1:8" customFormat="1" x14ac:dyDescent="0.35">
      <c r="A279" t="s">
        <v>318</v>
      </c>
      <c r="B279" s="1">
        <v>45975</v>
      </c>
      <c r="C279" t="s">
        <v>33</v>
      </c>
      <c r="D279" t="s">
        <v>8</v>
      </c>
      <c r="E279" s="1">
        <v>45977</v>
      </c>
      <c r="F279" s="1">
        <v>45977</v>
      </c>
      <c r="G279">
        <v>1257</v>
      </c>
      <c r="H279">
        <v>218.73</v>
      </c>
    </row>
    <row r="280" spans="1:8" customFormat="1" x14ac:dyDescent="0.35">
      <c r="A280" t="s">
        <v>319</v>
      </c>
      <c r="B280" s="1">
        <v>45975</v>
      </c>
      <c r="C280" t="s">
        <v>22</v>
      </c>
      <c r="D280" t="s">
        <v>8</v>
      </c>
      <c r="E280" s="1">
        <v>45977</v>
      </c>
      <c r="F280" s="1">
        <v>45977</v>
      </c>
      <c r="G280">
        <v>164</v>
      </c>
      <c r="H280">
        <v>49.94</v>
      </c>
    </row>
    <row r="281" spans="1:8" customFormat="1" x14ac:dyDescent="0.35">
      <c r="A281" t="s">
        <v>320</v>
      </c>
      <c r="B281" s="1">
        <v>45976</v>
      </c>
      <c r="C281" t="s">
        <v>33</v>
      </c>
      <c r="D281" t="s">
        <v>10</v>
      </c>
      <c r="E281" s="1">
        <v>45977</v>
      </c>
      <c r="F281" s="1">
        <v>45977</v>
      </c>
      <c r="G281">
        <v>1488</v>
      </c>
      <c r="H281">
        <v>244.82</v>
      </c>
    </row>
    <row r="282" spans="1:8" customFormat="1" x14ac:dyDescent="0.35">
      <c r="A282" t="s">
        <v>321</v>
      </c>
      <c r="B282" s="1">
        <v>45976</v>
      </c>
      <c r="C282" t="s">
        <v>19</v>
      </c>
      <c r="D282" t="s">
        <v>6</v>
      </c>
      <c r="E282" s="1">
        <v>45977</v>
      </c>
      <c r="F282" s="1">
        <v>45978</v>
      </c>
      <c r="G282">
        <v>605</v>
      </c>
      <c r="H282">
        <v>125.31</v>
      </c>
    </row>
    <row r="283" spans="1:8" customFormat="1" x14ac:dyDescent="0.35">
      <c r="A283" t="s">
        <v>322</v>
      </c>
      <c r="B283" s="1">
        <v>45976</v>
      </c>
      <c r="C283" t="s">
        <v>31</v>
      </c>
      <c r="D283" t="s">
        <v>10</v>
      </c>
      <c r="E283" s="1">
        <v>45978</v>
      </c>
      <c r="F283" s="1">
        <v>45979</v>
      </c>
      <c r="G283">
        <v>879</v>
      </c>
      <c r="H283">
        <v>145.27000000000001</v>
      </c>
    </row>
    <row r="284" spans="1:8" customFormat="1" x14ac:dyDescent="0.35">
      <c r="A284" t="s">
        <v>323</v>
      </c>
      <c r="B284" s="1">
        <v>45976</v>
      </c>
      <c r="C284" t="s">
        <v>22</v>
      </c>
      <c r="D284" t="s">
        <v>10</v>
      </c>
      <c r="E284" s="1">
        <v>45978</v>
      </c>
      <c r="F284" s="1">
        <v>45978</v>
      </c>
      <c r="G284">
        <v>641</v>
      </c>
      <c r="H284">
        <v>111.21</v>
      </c>
    </row>
    <row r="285" spans="1:8" customFormat="1" x14ac:dyDescent="0.35">
      <c r="A285" t="s">
        <v>324</v>
      </c>
      <c r="B285" s="1">
        <v>45977</v>
      </c>
      <c r="C285" t="s">
        <v>28</v>
      </c>
      <c r="D285" t="s">
        <v>8</v>
      </c>
      <c r="E285" s="1">
        <v>45978</v>
      </c>
      <c r="F285" s="1">
        <v>45978</v>
      </c>
      <c r="G285">
        <v>1685</v>
      </c>
      <c r="H285">
        <v>279.24</v>
      </c>
    </row>
    <row r="286" spans="1:8" customFormat="1" x14ac:dyDescent="0.35">
      <c r="A286" t="s">
        <v>325</v>
      </c>
      <c r="B286" s="1">
        <v>45978</v>
      </c>
      <c r="C286" t="s">
        <v>25</v>
      </c>
      <c r="D286" t="s">
        <v>8</v>
      </c>
      <c r="E286" s="1">
        <v>45980</v>
      </c>
      <c r="F286" s="1">
        <v>45980</v>
      </c>
      <c r="G286">
        <v>1141</v>
      </c>
      <c r="H286">
        <v>195.89</v>
      </c>
    </row>
    <row r="287" spans="1:8" customFormat="1" x14ac:dyDescent="0.35">
      <c r="A287" t="s">
        <v>326</v>
      </c>
      <c r="B287" s="1">
        <v>45978</v>
      </c>
      <c r="C287" t="s">
        <v>22</v>
      </c>
      <c r="D287" t="s">
        <v>8</v>
      </c>
      <c r="E287" s="1">
        <v>45980</v>
      </c>
      <c r="F287" s="1">
        <v>45979</v>
      </c>
      <c r="G287">
        <v>1773</v>
      </c>
      <c r="H287">
        <v>284.99</v>
      </c>
    </row>
    <row r="288" spans="1:8" customFormat="1" x14ac:dyDescent="0.35">
      <c r="A288" t="s">
        <v>327</v>
      </c>
      <c r="B288" s="1">
        <v>45978</v>
      </c>
      <c r="C288" t="s">
        <v>33</v>
      </c>
      <c r="D288" t="s">
        <v>12</v>
      </c>
      <c r="E288" s="1">
        <v>45980</v>
      </c>
      <c r="F288" s="1">
        <v>45980</v>
      </c>
      <c r="G288">
        <v>2207</v>
      </c>
      <c r="H288">
        <v>357.18</v>
      </c>
    </row>
    <row r="289" spans="1:8" customFormat="1" x14ac:dyDescent="0.35">
      <c r="A289" t="s">
        <v>328</v>
      </c>
      <c r="B289" s="1">
        <v>45979</v>
      </c>
      <c r="C289" t="s">
        <v>22</v>
      </c>
      <c r="D289" t="s">
        <v>6</v>
      </c>
      <c r="E289" s="1">
        <v>45980</v>
      </c>
      <c r="F289" s="1">
        <v>45980</v>
      </c>
      <c r="G289">
        <v>92</v>
      </c>
      <c r="H289">
        <v>48.52</v>
      </c>
    </row>
    <row r="290" spans="1:8" customFormat="1" x14ac:dyDescent="0.35">
      <c r="A290" t="s">
        <v>329</v>
      </c>
      <c r="B290" s="1">
        <v>45979</v>
      </c>
      <c r="C290" t="s">
        <v>33</v>
      </c>
      <c r="D290" t="s">
        <v>8</v>
      </c>
      <c r="E290" s="1">
        <v>45981</v>
      </c>
      <c r="F290" s="1">
        <v>45980</v>
      </c>
      <c r="G290">
        <v>2182</v>
      </c>
      <c r="H290">
        <v>350.82</v>
      </c>
    </row>
    <row r="291" spans="1:8" customFormat="1" x14ac:dyDescent="0.35">
      <c r="A291" t="s">
        <v>330</v>
      </c>
      <c r="B291" s="1">
        <v>45979</v>
      </c>
      <c r="C291" t="s">
        <v>28</v>
      </c>
      <c r="D291" t="s">
        <v>12</v>
      </c>
      <c r="E291" s="1">
        <v>45981</v>
      </c>
      <c r="F291" s="1">
        <v>45981</v>
      </c>
      <c r="G291">
        <v>1636</v>
      </c>
      <c r="H291">
        <v>269.3</v>
      </c>
    </row>
    <row r="292" spans="1:8" customFormat="1" x14ac:dyDescent="0.35">
      <c r="A292" t="s">
        <v>331</v>
      </c>
      <c r="B292" s="1">
        <v>45980</v>
      </c>
      <c r="C292" t="s">
        <v>31</v>
      </c>
      <c r="D292" t="s">
        <v>4</v>
      </c>
      <c r="E292" s="1">
        <v>45981</v>
      </c>
      <c r="F292" s="1">
        <v>45981</v>
      </c>
      <c r="G292">
        <v>786</v>
      </c>
      <c r="H292">
        <v>147.30000000000001</v>
      </c>
    </row>
    <row r="293" spans="1:8" customFormat="1" x14ac:dyDescent="0.35">
      <c r="A293" t="s">
        <v>332</v>
      </c>
      <c r="B293" s="1">
        <v>45981</v>
      </c>
      <c r="C293" t="s">
        <v>33</v>
      </c>
      <c r="D293" t="s">
        <v>4</v>
      </c>
      <c r="E293" s="1">
        <v>45983</v>
      </c>
      <c r="F293" s="1">
        <v>45982</v>
      </c>
      <c r="G293">
        <v>2370</v>
      </c>
      <c r="H293">
        <v>394.29</v>
      </c>
    </row>
    <row r="294" spans="1:8" customFormat="1" x14ac:dyDescent="0.35">
      <c r="A294" t="s">
        <v>333</v>
      </c>
      <c r="B294" s="1">
        <v>45982</v>
      </c>
      <c r="C294" t="s">
        <v>22</v>
      </c>
      <c r="D294" t="s">
        <v>12</v>
      </c>
      <c r="E294" s="1">
        <v>45984</v>
      </c>
      <c r="F294" s="1">
        <v>45985</v>
      </c>
      <c r="G294">
        <v>459</v>
      </c>
      <c r="H294">
        <v>95.04</v>
      </c>
    </row>
    <row r="295" spans="1:8" customFormat="1" x14ac:dyDescent="0.35">
      <c r="A295" t="s">
        <v>334</v>
      </c>
      <c r="B295" s="1">
        <v>45982</v>
      </c>
      <c r="C295" t="s">
        <v>31</v>
      </c>
      <c r="D295" t="s">
        <v>10</v>
      </c>
      <c r="E295" s="1">
        <v>45984</v>
      </c>
      <c r="F295" s="1">
        <v>45984</v>
      </c>
      <c r="G295">
        <v>721</v>
      </c>
      <c r="H295">
        <v>124.04</v>
      </c>
    </row>
    <row r="296" spans="1:8" customFormat="1" x14ac:dyDescent="0.35">
      <c r="A296" t="s">
        <v>335</v>
      </c>
      <c r="B296" s="1">
        <v>45982</v>
      </c>
      <c r="C296" t="s">
        <v>19</v>
      </c>
      <c r="D296" t="s">
        <v>12</v>
      </c>
      <c r="E296" s="1">
        <v>45984</v>
      </c>
      <c r="F296" s="1">
        <v>45987</v>
      </c>
      <c r="G296">
        <v>835</v>
      </c>
      <c r="H296">
        <v>161.25</v>
      </c>
    </row>
    <row r="297" spans="1:8" customFormat="1" x14ac:dyDescent="0.35">
      <c r="A297" t="s">
        <v>336</v>
      </c>
      <c r="B297" s="1">
        <v>45982</v>
      </c>
      <c r="C297" t="s">
        <v>31</v>
      </c>
      <c r="D297" t="s">
        <v>8</v>
      </c>
      <c r="E297" s="1">
        <v>45984</v>
      </c>
      <c r="F297" s="1">
        <v>45985</v>
      </c>
      <c r="G297">
        <v>1608</v>
      </c>
      <c r="H297">
        <v>272</v>
      </c>
    </row>
    <row r="298" spans="1:8" customFormat="1" x14ac:dyDescent="0.35">
      <c r="A298" t="s">
        <v>337</v>
      </c>
      <c r="B298" s="1">
        <v>45983</v>
      </c>
      <c r="C298" t="s">
        <v>25</v>
      </c>
      <c r="D298" t="s">
        <v>6</v>
      </c>
      <c r="E298" s="1">
        <v>45984</v>
      </c>
      <c r="F298" s="1">
        <v>45983</v>
      </c>
      <c r="G298">
        <v>2098</v>
      </c>
      <c r="H298">
        <v>339.36</v>
      </c>
    </row>
    <row r="299" spans="1:8" customFormat="1" x14ac:dyDescent="0.35">
      <c r="A299" t="s">
        <v>338</v>
      </c>
      <c r="B299" s="1">
        <v>45983</v>
      </c>
      <c r="C299" t="s">
        <v>28</v>
      </c>
      <c r="D299" t="s">
        <v>8</v>
      </c>
      <c r="E299" s="1">
        <v>45984</v>
      </c>
      <c r="F299" s="1">
        <v>45984</v>
      </c>
      <c r="G299">
        <v>1541</v>
      </c>
      <c r="H299">
        <v>251.09</v>
      </c>
    </row>
    <row r="300" spans="1:8" customFormat="1" x14ac:dyDescent="0.35">
      <c r="A300" t="s">
        <v>339</v>
      </c>
      <c r="B300" s="1">
        <v>45983</v>
      </c>
      <c r="C300" t="s">
        <v>22</v>
      </c>
      <c r="D300" t="s">
        <v>6</v>
      </c>
      <c r="E300" s="1">
        <v>45985</v>
      </c>
      <c r="F300" s="1">
        <v>45987</v>
      </c>
      <c r="G300">
        <v>2491</v>
      </c>
      <c r="H300">
        <v>401</v>
      </c>
    </row>
    <row r="301" spans="1:8" customFormat="1" x14ac:dyDescent="0.35">
      <c r="A301" t="s">
        <v>340</v>
      </c>
      <c r="B301" s="1">
        <v>45983</v>
      </c>
      <c r="C301" t="s">
        <v>22</v>
      </c>
      <c r="D301" t="s">
        <v>8</v>
      </c>
      <c r="E301" s="1">
        <v>45984</v>
      </c>
      <c r="F301" s="1">
        <v>45984</v>
      </c>
      <c r="G301">
        <v>1140</v>
      </c>
      <c r="H301">
        <v>201.19</v>
      </c>
    </row>
    <row r="302" spans="1:8" customFormat="1" x14ac:dyDescent="0.35">
      <c r="A302" t="s">
        <v>341</v>
      </c>
      <c r="B302" s="1">
        <v>45984</v>
      </c>
      <c r="C302" t="s">
        <v>33</v>
      </c>
      <c r="D302" t="s">
        <v>6</v>
      </c>
      <c r="E302" s="1">
        <v>45985</v>
      </c>
      <c r="F302" s="1">
        <v>45985</v>
      </c>
      <c r="G302">
        <v>702</v>
      </c>
      <c r="H302">
        <v>128.9</v>
      </c>
    </row>
    <row r="303" spans="1:8" customFormat="1" x14ac:dyDescent="0.35">
      <c r="A303" t="s">
        <v>342</v>
      </c>
      <c r="B303" s="1">
        <v>45985</v>
      </c>
      <c r="C303" t="s">
        <v>22</v>
      </c>
      <c r="D303" t="s">
        <v>6</v>
      </c>
      <c r="E303" s="1">
        <v>45986</v>
      </c>
      <c r="F303" s="1">
        <v>45990</v>
      </c>
      <c r="G303">
        <v>308</v>
      </c>
      <c r="H303">
        <v>74.78</v>
      </c>
    </row>
    <row r="304" spans="1:8" customFormat="1" x14ac:dyDescent="0.35">
      <c r="A304" t="s">
        <v>343</v>
      </c>
      <c r="B304" s="1">
        <v>45985</v>
      </c>
      <c r="C304" t="s">
        <v>25</v>
      </c>
      <c r="D304" t="s">
        <v>6</v>
      </c>
      <c r="E304" s="1">
        <v>45987</v>
      </c>
      <c r="F304" s="1">
        <v>45987</v>
      </c>
      <c r="G304">
        <v>1716</v>
      </c>
      <c r="H304">
        <v>287.51</v>
      </c>
    </row>
    <row r="305" spans="1:8" customFormat="1" x14ac:dyDescent="0.35">
      <c r="A305" t="s">
        <v>344</v>
      </c>
      <c r="B305" s="1">
        <v>45985</v>
      </c>
      <c r="C305" t="s">
        <v>25</v>
      </c>
      <c r="D305" t="s">
        <v>8</v>
      </c>
      <c r="E305" s="1">
        <v>45987</v>
      </c>
      <c r="F305" s="1">
        <v>45987</v>
      </c>
      <c r="G305">
        <v>233</v>
      </c>
      <c r="H305">
        <v>52.3</v>
      </c>
    </row>
    <row r="306" spans="1:8" customFormat="1" x14ac:dyDescent="0.35">
      <c r="A306" t="s">
        <v>345</v>
      </c>
      <c r="B306" s="1">
        <v>45986</v>
      </c>
      <c r="C306" t="s">
        <v>22</v>
      </c>
      <c r="D306" t="s">
        <v>4</v>
      </c>
      <c r="E306" s="1">
        <v>45987</v>
      </c>
      <c r="F306" s="1">
        <v>45986</v>
      </c>
      <c r="G306">
        <v>294</v>
      </c>
      <c r="H306">
        <v>85.1</v>
      </c>
    </row>
    <row r="307" spans="1:8" customFormat="1" x14ac:dyDescent="0.35">
      <c r="A307" t="s">
        <v>346</v>
      </c>
      <c r="B307" s="1">
        <v>45986</v>
      </c>
      <c r="C307" t="s">
        <v>25</v>
      </c>
      <c r="D307" t="s">
        <v>10</v>
      </c>
      <c r="E307" s="1">
        <v>45988</v>
      </c>
      <c r="F307" s="1">
        <v>45988</v>
      </c>
      <c r="G307">
        <v>1305</v>
      </c>
      <c r="H307">
        <v>209.25</v>
      </c>
    </row>
    <row r="308" spans="1:8" customFormat="1" x14ac:dyDescent="0.35">
      <c r="A308" t="s">
        <v>347</v>
      </c>
      <c r="B308" s="1">
        <v>45989</v>
      </c>
      <c r="C308" t="s">
        <v>28</v>
      </c>
      <c r="D308" t="s">
        <v>4</v>
      </c>
      <c r="E308" s="1">
        <v>45991</v>
      </c>
      <c r="F308" s="1">
        <v>45991</v>
      </c>
      <c r="G308">
        <v>1571</v>
      </c>
      <c r="H308">
        <v>267.94</v>
      </c>
    </row>
    <row r="309" spans="1:8" customFormat="1" x14ac:dyDescent="0.35">
      <c r="A309" t="s">
        <v>348</v>
      </c>
      <c r="B309" s="1">
        <v>45990</v>
      </c>
      <c r="C309" t="s">
        <v>33</v>
      </c>
      <c r="D309" t="s">
        <v>8</v>
      </c>
      <c r="E309" s="1">
        <v>45991</v>
      </c>
      <c r="F309" s="1">
        <v>45991</v>
      </c>
      <c r="G309">
        <v>401</v>
      </c>
      <c r="H309">
        <v>77.510000000000005</v>
      </c>
    </row>
    <row r="310" spans="1:8" customFormat="1" x14ac:dyDescent="0.35">
      <c r="A310" t="s">
        <v>349</v>
      </c>
      <c r="B310" s="1">
        <v>45990</v>
      </c>
      <c r="C310" t="s">
        <v>22</v>
      </c>
      <c r="D310" t="s">
        <v>4</v>
      </c>
      <c r="E310" s="1">
        <v>45992</v>
      </c>
      <c r="F310" s="1">
        <v>45994</v>
      </c>
      <c r="G310">
        <v>1342</v>
      </c>
      <c r="H310">
        <v>236.13</v>
      </c>
    </row>
    <row r="311" spans="1:8" customFormat="1" x14ac:dyDescent="0.35">
      <c r="A311" t="s">
        <v>350</v>
      </c>
      <c r="B311" s="1">
        <v>45990</v>
      </c>
      <c r="C311" t="s">
        <v>28</v>
      </c>
      <c r="D311" t="s">
        <v>6</v>
      </c>
      <c r="E311" s="1">
        <v>45991</v>
      </c>
      <c r="F311" s="1">
        <v>45992</v>
      </c>
      <c r="G311">
        <v>1134</v>
      </c>
      <c r="H311">
        <v>198.44</v>
      </c>
    </row>
    <row r="312" spans="1:8" customFormat="1" x14ac:dyDescent="0.35">
      <c r="A312" t="s">
        <v>351</v>
      </c>
      <c r="B312" s="1">
        <v>45991</v>
      </c>
      <c r="C312" t="s">
        <v>22</v>
      </c>
      <c r="D312" t="s">
        <v>10</v>
      </c>
      <c r="E312" s="1">
        <v>45993</v>
      </c>
      <c r="F312" s="1">
        <v>45993</v>
      </c>
      <c r="G312">
        <v>250</v>
      </c>
      <c r="H312">
        <v>53.22</v>
      </c>
    </row>
    <row r="313" spans="1:8" customFormat="1" x14ac:dyDescent="0.35">
      <c r="A313" t="s">
        <v>352</v>
      </c>
      <c r="B313" s="1">
        <v>45991</v>
      </c>
      <c r="C313" t="s">
        <v>28</v>
      </c>
      <c r="D313" t="s">
        <v>4</v>
      </c>
      <c r="E313" s="1">
        <v>45993</v>
      </c>
      <c r="F313" s="1">
        <v>45993</v>
      </c>
      <c r="G313">
        <v>2269</v>
      </c>
      <c r="H313">
        <v>368.8</v>
      </c>
    </row>
    <row r="314" spans="1:8" customFormat="1" x14ac:dyDescent="0.35">
      <c r="A314" t="s">
        <v>353</v>
      </c>
      <c r="B314" s="1">
        <v>45991</v>
      </c>
      <c r="C314" t="s">
        <v>33</v>
      </c>
      <c r="D314" t="s">
        <v>10</v>
      </c>
      <c r="E314" s="1">
        <v>45992</v>
      </c>
      <c r="F314" s="1">
        <v>45992</v>
      </c>
      <c r="G314">
        <v>1423</v>
      </c>
      <c r="H314">
        <v>227.51</v>
      </c>
    </row>
    <row r="315" spans="1:8" customFormat="1" x14ac:dyDescent="0.35">
      <c r="A315" t="s">
        <v>354</v>
      </c>
      <c r="B315" s="1">
        <v>45992</v>
      </c>
      <c r="C315" t="s">
        <v>25</v>
      </c>
      <c r="D315" t="s">
        <v>10</v>
      </c>
      <c r="E315" s="1">
        <v>45993</v>
      </c>
      <c r="F315" s="1">
        <v>45992</v>
      </c>
      <c r="G315">
        <v>1385</v>
      </c>
      <c r="H315">
        <v>225.8</v>
      </c>
    </row>
    <row r="316" spans="1:8" customFormat="1" x14ac:dyDescent="0.35">
      <c r="A316" t="s">
        <v>355</v>
      </c>
      <c r="B316" s="1">
        <v>45992</v>
      </c>
      <c r="C316" t="s">
        <v>22</v>
      </c>
      <c r="D316" t="s">
        <v>10</v>
      </c>
      <c r="E316" s="1">
        <v>45993</v>
      </c>
      <c r="F316" s="1">
        <v>45992</v>
      </c>
      <c r="G316">
        <v>1059</v>
      </c>
      <c r="H316">
        <v>183.6</v>
      </c>
    </row>
    <row r="317" spans="1:8" customFormat="1" x14ac:dyDescent="0.35">
      <c r="A317" t="s">
        <v>356</v>
      </c>
      <c r="B317" s="1">
        <v>45992</v>
      </c>
      <c r="C317" t="s">
        <v>25</v>
      </c>
      <c r="D317" t="s">
        <v>10</v>
      </c>
      <c r="E317" s="1">
        <v>45993</v>
      </c>
      <c r="F317" s="1">
        <v>45993</v>
      </c>
      <c r="G317">
        <v>1814</v>
      </c>
      <c r="H317">
        <v>292.27999999999997</v>
      </c>
    </row>
    <row r="318" spans="1:8" customFormat="1" x14ac:dyDescent="0.35">
      <c r="A318" t="s">
        <v>357</v>
      </c>
      <c r="B318" s="1">
        <v>45992</v>
      </c>
      <c r="C318" t="s">
        <v>25</v>
      </c>
      <c r="D318" t="s">
        <v>4</v>
      </c>
      <c r="E318" s="1">
        <v>45993</v>
      </c>
      <c r="F318" s="1">
        <v>45992</v>
      </c>
      <c r="G318">
        <v>1601</v>
      </c>
      <c r="H318">
        <v>272.92</v>
      </c>
    </row>
    <row r="319" spans="1:8" customFormat="1" x14ac:dyDescent="0.35">
      <c r="A319" t="s">
        <v>358</v>
      </c>
      <c r="B319" s="1">
        <v>45992</v>
      </c>
      <c r="C319" t="s">
        <v>25</v>
      </c>
      <c r="D319" t="s">
        <v>4</v>
      </c>
      <c r="E319" s="1">
        <v>45994</v>
      </c>
      <c r="F319" s="1">
        <v>45994</v>
      </c>
      <c r="G319">
        <v>2268</v>
      </c>
      <c r="H319">
        <v>369.01</v>
      </c>
    </row>
    <row r="320" spans="1:8" customFormat="1" x14ac:dyDescent="0.35">
      <c r="A320" t="s">
        <v>359</v>
      </c>
      <c r="B320" s="1">
        <v>45992</v>
      </c>
      <c r="C320" t="s">
        <v>31</v>
      </c>
      <c r="D320" t="s">
        <v>4</v>
      </c>
      <c r="E320" s="1">
        <v>45994</v>
      </c>
      <c r="F320" s="1">
        <v>45994</v>
      </c>
      <c r="G320">
        <v>869</v>
      </c>
      <c r="H320">
        <v>168.15</v>
      </c>
    </row>
    <row r="321" spans="1:8" customFormat="1" x14ac:dyDescent="0.35">
      <c r="A321" t="s">
        <v>360</v>
      </c>
      <c r="B321" s="1">
        <v>45993</v>
      </c>
      <c r="C321" t="s">
        <v>31</v>
      </c>
      <c r="D321" t="s">
        <v>4</v>
      </c>
      <c r="E321" s="1">
        <v>45994</v>
      </c>
      <c r="F321" s="1">
        <v>45994</v>
      </c>
      <c r="G321">
        <v>2191</v>
      </c>
      <c r="H321">
        <v>366.64</v>
      </c>
    </row>
    <row r="322" spans="1:8" customFormat="1" x14ac:dyDescent="0.35">
      <c r="A322" t="s">
        <v>361</v>
      </c>
      <c r="B322" s="1">
        <v>45994</v>
      </c>
      <c r="C322" t="s">
        <v>25</v>
      </c>
      <c r="D322" t="s">
        <v>12</v>
      </c>
      <c r="E322" s="1">
        <v>45996</v>
      </c>
      <c r="F322" s="1">
        <v>45996</v>
      </c>
      <c r="G322">
        <v>1752</v>
      </c>
      <c r="H322">
        <v>301.64999999999998</v>
      </c>
    </row>
    <row r="323" spans="1:8" customFormat="1" x14ac:dyDescent="0.35">
      <c r="A323" t="s">
        <v>362</v>
      </c>
      <c r="B323" s="1">
        <v>45994</v>
      </c>
      <c r="C323" t="s">
        <v>28</v>
      </c>
      <c r="D323" t="s">
        <v>8</v>
      </c>
      <c r="E323" s="1">
        <v>45996</v>
      </c>
      <c r="F323" s="1">
        <v>45996</v>
      </c>
      <c r="G323">
        <v>2248</v>
      </c>
      <c r="H323">
        <v>365.01</v>
      </c>
    </row>
    <row r="324" spans="1:8" customFormat="1" x14ac:dyDescent="0.35">
      <c r="A324" t="s">
        <v>363</v>
      </c>
      <c r="B324" s="1">
        <v>45994</v>
      </c>
      <c r="C324" t="s">
        <v>25</v>
      </c>
      <c r="D324" t="s">
        <v>10</v>
      </c>
      <c r="E324" s="1">
        <v>45996</v>
      </c>
      <c r="F324" s="1">
        <v>45996</v>
      </c>
      <c r="G324">
        <v>1984</v>
      </c>
      <c r="H324">
        <v>312.58999999999997</v>
      </c>
    </row>
    <row r="325" spans="1:8" customFormat="1" x14ac:dyDescent="0.35">
      <c r="A325" t="s">
        <v>364</v>
      </c>
      <c r="B325" s="1">
        <v>45995</v>
      </c>
      <c r="C325" t="s">
        <v>28</v>
      </c>
      <c r="D325" t="s">
        <v>12</v>
      </c>
      <c r="E325" s="1">
        <v>45997</v>
      </c>
      <c r="F325" s="1">
        <v>45997</v>
      </c>
      <c r="G325">
        <v>2019</v>
      </c>
      <c r="H325">
        <v>333.66</v>
      </c>
    </row>
    <row r="326" spans="1:8" customFormat="1" x14ac:dyDescent="0.35">
      <c r="A326" t="s">
        <v>365</v>
      </c>
      <c r="B326" s="1">
        <v>45995</v>
      </c>
      <c r="C326" t="s">
        <v>22</v>
      </c>
      <c r="D326" t="s">
        <v>4</v>
      </c>
      <c r="E326" s="1">
        <v>45997</v>
      </c>
      <c r="F326" s="1">
        <v>45999</v>
      </c>
      <c r="G326">
        <v>49</v>
      </c>
      <c r="H326">
        <v>48.11</v>
      </c>
    </row>
    <row r="327" spans="1:8" customFormat="1" x14ac:dyDescent="0.35">
      <c r="A327" t="s">
        <v>366</v>
      </c>
      <c r="B327" s="1">
        <v>45995</v>
      </c>
      <c r="C327" t="s">
        <v>31</v>
      </c>
      <c r="D327" t="s">
        <v>12</v>
      </c>
      <c r="E327" s="1">
        <v>45997</v>
      </c>
      <c r="F327" s="1">
        <v>45996</v>
      </c>
      <c r="G327">
        <v>1596</v>
      </c>
      <c r="H327">
        <v>271.04000000000002</v>
      </c>
    </row>
    <row r="328" spans="1:8" customFormat="1" x14ac:dyDescent="0.35">
      <c r="A328" t="s">
        <v>367</v>
      </c>
      <c r="B328" s="1">
        <v>45996</v>
      </c>
      <c r="C328" t="s">
        <v>33</v>
      </c>
      <c r="D328" t="s">
        <v>12</v>
      </c>
      <c r="E328" s="1">
        <v>45998</v>
      </c>
      <c r="F328" s="1">
        <v>45998</v>
      </c>
      <c r="G328">
        <v>2400</v>
      </c>
      <c r="H328">
        <v>389.89</v>
      </c>
    </row>
    <row r="329" spans="1:8" customFormat="1" x14ac:dyDescent="0.35">
      <c r="A329" t="s">
        <v>368</v>
      </c>
      <c r="B329" s="1">
        <v>45996</v>
      </c>
      <c r="C329" t="s">
        <v>22</v>
      </c>
      <c r="D329" t="s">
        <v>8</v>
      </c>
      <c r="E329" s="1">
        <v>45998</v>
      </c>
      <c r="F329" s="1">
        <v>45998</v>
      </c>
      <c r="G329">
        <v>2433</v>
      </c>
      <c r="H329">
        <v>395.54</v>
      </c>
    </row>
    <row r="330" spans="1:8" customFormat="1" x14ac:dyDescent="0.35">
      <c r="A330" t="s">
        <v>369</v>
      </c>
      <c r="B330" s="1">
        <v>45996</v>
      </c>
      <c r="C330" t="s">
        <v>28</v>
      </c>
      <c r="D330" t="s">
        <v>4</v>
      </c>
      <c r="E330" s="1">
        <v>45998</v>
      </c>
      <c r="F330" s="1">
        <v>46000</v>
      </c>
      <c r="G330">
        <v>509</v>
      </c>
      <c r="H330">
        <v>108.76</v>
      </c>
    </row>
    <row r="331" spans="1:8" customFormat="1" x14ac:dyDescent="0.35">
      <c r="A331" t="s">
        <v>370</v>
      </c>
      <c r="B331" s="1">
        <v>45997</v>
      </c>
      <c r="C331" t="s">
        <v>19</v>
      </c>
      <c r="D331" t="s">
        <v>10</v>
      </c>
      <c r="E331" s="1">
        <v>45998</v>
      </c>
      <c r="F331" s="1">
        <v>45998</v>
      </c>
      <c r="G331">
        <v>2299</v>
      </c>
      <c r="H331">
        <v>367.03</v>
      </c>
    </row>
    <row r="332" spans="1:8" customFormat="1" x14ac:dyDescent="0.35">
      <c r="A332" t="s">
        <v>371</v>
      </c>
      <c r="B332" s="1">
        <v>45997</v>
      </c>
      <c r="C332" t="s">
        <v>19</v>
      </c>
      <c r="D332" t="s">
        <v>12</v>
      </c>
      <c r="E332" s="1">
        <v>45999</v>
      </c>
      <c r="F332" s="1">
        <v>45999</v>
      </c>
      <c r="G332">
        <v>934</v>
      </c>
      <c r="H332">
        <v>175.64</v>
      </c>
    </row>
    <row r="333" spans="1:8" customFormat="1" x14ac:dyDescent="0.35">
      <c r="A333" t="s">
        <v>372</v>
      </c>
      <c r="B333" s="1">
        <v>45997</v>
      </c>
      <c r="C333" t="s">
        <v>19</v>
      </c>
      <c r="D333" t="s">
        <v>8</v>
      </c>
      <c r="E333" s="1">
        <v>45999</v>
      </c>
      <c r="F333" s="1">
        <v>45999</v>
      </c>
      <c r="G333">
        <v>1360</v>
      </c>
      <c r="H333">
        <v>224.93</v>
      </c>
    </row>
    <row r="334" spans="1:8" customFormat="1" x14ac:dyDescent="0.35">
      <c r="A334" t="s">
        <v>373</v>
      </c>
      <c r="B334" s="1">
        <v>45997</v>
      </c>
      <c r="C334" t="s">
        <v>25</v>
      </c>
      <c r="D334" t="s">
        <v>10</v>
      </c>
      <c r="E334" s="1">
        <v>45998</v>
      </c>
      <c r="F334" s="1">
        <v>45997</v>
      </c>
      <c r="G334">
        <v>722</v>
      </c>
      <c r="H334">
        <v>122.02</v>
      </c>
    </row>
    <row r="335" spans="1:8" customFormat="1" x14ac:dyDescent="0.35">
      <c r="A335" t="s">
        <v>374</v>
      </c>
      <c r="B335" s="1">
        <v>45998</v>
      </c>
      <c r="C335" t="s">
        <v>19</v>
      </c>
      <c r="D335" t="s">
        <v>10</v>
      </c>
      <c r="E335" s="1">
        <v>46000</v>
      </c>
      <c r="F335" s="1">
        <v>45999</v>
      </c>
      <c r="G335">
        <v>2123</v>
      </c>
      <c r="H335">
        <v>344.47</v>
      </c>
    </row>
    <row r="336" spans="1:8" customFormat="1" x14ac:dyDescent="0.35">
      <c r="A336" t="s">
        <v>375</v>
      </c>
      <c r="B336" s="1">
        <v>45999</v>
      </c>
      <c r="C336" t="s">
        <v>33</v>
      </c>
      <c r="D336" t="s">
        <v>4</v>
      </c>
      <c r="E336" s="1">
        <v>46001</v>
      </c>
      <c r="F336" s="1">
        <v>46000</v>
      </c>
      <c r="G336">
        <v>434</v>
      </c>
      <c r="H336">
        <v>103.17</v>
      </c>
    </row>
    <row r="337" spans="1:8" customFormat="1" x14ac:dyDescent="0.35">
      <c r="A337" t="s">
        <v>376</v>
      </c>
      <c r="B337" s="1">
        <v>46000</v>
      </c>
      <c r="C337" t="s">
        <v>19</v>
      </c>
      <c r="D337" t="s">
        <v>12</v>
      </c>
      <c r="E337" s="1">
        <v>46001</v>
      </c>
      <c r="F337" s="1">
        <v>46001</v>
      </c>
      <c r="G337">
        <v>190</v>
      </c>
      <c r="H337">
        <v>65.28</v>
      </c>
    </row>
    <row r="338" spans="1:8" customFormat="1" x14ac:dyDescent="0.35">
      <c r="A338" t="s">
        <v>377</v>
      </c>
      <c r="B338" s="1">
        <v>46000</v>
      </c>
      <c r="C338" t="s">
        <v>31</v>
      </c>
      <c r="D338" t="s">
        <v>4</v>
      </c>
      <c r="E338" s="1">
        <v>46002</v>
      </c>
      <c r="F338" s="1">
        <v>46002</v>
      </c>
      <c r="G338">
        <v>472</v>
      </c>
      <c r="H338">
        <v>102.05</v>
      </c>
    </row>
    <row r="339" spans="1:8" customFormat="1" x14ac:dyDescent="0.35">
      <c r="A339" t="s">
        <v>378</v>
      </c>
      <c r="B339" s="1">
        <v>46000</v>
      </c>
      <c r="C339" t="s">
        <v>25</v>
      </c>
      <c r="D339" t="s">
        <v>4</v>
      </c>
      <c r="E339" s="1">
        <v>46001</v>
      </c>
      <c r="F339" s="1">
        <v>46001</v>
      </c>
      <c r="G339">
        <v>666</v>
      </c>
      <c r="H339">
        <v>140.13999999999999</v>
      </c>
    </row>
    <row r="340" spans="1:8" customFormat="1" x14ac:dyDescent="0.35">
      <c r="A340" t="s">
        <v>379</v>
      </c>
      <c r="B340" s="1">
        <v>46001</v>
      </c>
      <c r="C340" t="s">
        <v>33</v>
      </c>
      <c r="D340" t="s">
        <v>12</v>
      </c>
      <c r="E340" s="1">
        <v>46002</v>
      </c>
      <c r="F340" s="1">
        <v>46001</v>
      </c>
      <c r="G340">
        <v>796</v>
      </c>
      <c r="H340">
        <v>143.72</v>
      </c>
    </row>
    <row r="341" spans="1:8" customFormat="1" x14ac:dyDescent="0.35">
      <c r="A341" t="s">
        <v>380</v>
      </c>
      <c r="B341" s="1">
        <v>46002</v>
      </c>
      <c r="C341" t="s">
        <v>22</v>
      </c>
      <c r="D341" t="s">
        <v>8</v>
      </c>
      <c r="E341" s="1">
        <v>46003</v>
      </c>
      <c r="F341" s="1">
        <v>46003</v>
      </c>
      <c r="G341">
        <v>493</v>
      </c>
      <c r="H341">
        <v>101.92</v>
      </c>
    </row>
    <row r="342" spans="1:8" customFormat="1" x14ac:dyDescent="0.35">
      <c r="A342" t="s">
        <v>381</v>
      </c>
      <c r="B342" s="1">
        <v>46002</v>
      </c>
      <c r="C342" t="s">
        <v>19</v>
      </c>
      <c r="D342" t="s">
        <v>4</v>
      </c>
      <c r="E342" s="1">
        <v>46003</v>
      </c>
      <c r="F342" s="1">
        <v>46003</v>
      </c>
      <c r="G342">
        <v>537</v>
      </c>
      <c r="H342">
        <v>108.43</v>
      </c>
    </row>
    <row r="343" spans="1:8" customFormat="1" x14ac:dyDescent="0.35">
      <c r="A343" t="s">
        <v>382</v>
      </c>
      <c r="B343" s="1">
        <v>46003</v>
      </c>
      <c r="C343" t="s">
        <v>28</v>
      </c>
      <c r="D343" t="s">
        <v>8</v>
      </c>
      <c r="E343" s="1">
        <v>46004</v>
      </c>
      <c r="F343" s="1">
        <v>46003</v>
      </c>
      <c r="G343">
        <v>1562</v>
      </c>
      <c r="H343">
        <v>254.87</v>
      </c>
    </row>
    <row r="344" spans="1:8" customFormat="1" x14ac:dyDescent="0.35">
      <c r="A344" t="s">
        <v>383</v>
      </c>
      <c r="B344" s="1">
        <v>46003</v>
      </c>
      <c r="C344" t="s">
        <v>19</v>
      </c>
      <c r="D344" t="s">
        <v>4</v>
      </c>
      <c r="E344" s="1">
        <v>46005</v>
      </c>
      <c r="F344" s="1">
        <v>46005</v>
      </c>
      <c r="G344">
        <v>317</v>
      </c>
      <c r="H344">
        <v>82.26</v>
      </c>
    </row>
    <row r="345" spans="1:8" customFormat="1" x14ac:dyDescent="0.35">
      <c r="A345" t="s">
        <v>384</v>
      </c>
      <c r="B345" s="1">
        <v>46003</v>
      </c>
      <c r="C345" t="s">
        <v>22</v>
      </c>
      <c r="D345" t="s">
        <v>10</v>
      </c>
      <c r="E345" s="1">
        <v>46004</v>
      </c>
      <c r="F345" s="1">
        <v>46004</v>
      </c>
      <c r="G345">
        <v>1402</v>
      </c>
      <c r="H345">
        <v>237.76</v>
      </c>
    </row>
    <row r="346" spans="1:8" customFormat="1" x14ac:dyDescent="0.35">
      <c r="A346" t="s">
        <v>385</v>
      </c>
      <c r="B346" s="1">
        <v>46003</v>
      </c>
      <c r="C346" t="s">
        <v>25</v>
      </c>
      <c r="D346" t="s">
        <v>8</v>
      </c>
      <c r="E346" s="1">
        <v>46005</v>
      </c>
      <c r="F346" s="1">
        <v>46005</v>
      </c>
      <c r="G346">
        <v>1448</v>
      </c>
      <c r="H346">
        <v>246.61</v>
      </c>
    </row>
    <row r="347" spans="1:8" customFormat="1" x14ac:dyDescent="0.35">
      <c r="A347" t="s">
        <v>386</v>
      </c>
      <c r="B347" s="1">
        <v>46003</v>
      </c>
      <c r="C347" t="s">
        <v>22</v>
      </c>
      <c r="D347" t="s">
        <v>10</v>
      </c>
      <c r="E347" s="1">
        <v>46005</v>
      </c>
      <c r="F347" s="1">
        <v>46005</v>
      </c>
      <c r="G347">
        <v>203</v>
      </c>
      <c r="H347">
        <v>45.93</v>
      </c>
    </row>
    <row r="348" spans="1:8" customFormat="1" x14ac:dyDescent="0.35">
      <c r="A348" t="s">
        <v>387</v>
      </c>
      <c r="B348" s="1">
        <v>46003</v>
      </c>
      <c r="C348" t="s">
        <v>25</v>
      </c>
      <c r="D348" t="s">
        <v>6</v>
      </c>
      <c r="E348" s="1">
        <v>46004</v>
      </c>
      <c r="F348" s="1">
        <v>46004</v>
      </c>
      <c r="G348">
        <v>140</v>
      </c>
      <c r="H348">
        <v>54.85</v>
      </c>
    </row>
    <row r="349" spans="1:8" customFormat="1" x14ac:dyDescent="0.35">
      <c r="A349" t="s">
        <v>388</v>
      </c>
      <c r="B349" s="1">
        <v>46004</v>
      </c>
      <c r="C349" t="s">
        <v>31</v>
      </c>
      <c r="D349" t="s">
        <v>12</v>
      </c>
      <c r="E349" s="1">
        <v>46005</v>
      </c>
      <c r="F349" s="1">
        <v>46005</v>
      </c>
      <c r="G349">
        <v>2417</v>
      </c>
      <c r="H349">
        <v>396.25</v>
      </c>
    </row>
    <row r="350" spans="1:8" customFormat="1" x14ac:dyDescent="0.35">
      <c r="A350" t="s">
        <v>389</v>
      </c>
      <c r="B350" s="1">
        <v>46005</v>
      </c>
      <c r="C350" t="s">
        <v>25</v>
      </c>
      <c r="D350" t="s">
        <v>12</v>
      </c>
      <c r="E350" s="1">
        <v>46007</v>
      </c>
      <c r="F350" s="1">
        <v>46007</v>
      </c>
      <c r="G350">
        <v>2195</v>
      </c>
      <c r="H350">
        <v>358.85</v>
      </c>
    </row>
    <row r="351" spans="1:8" customFormat="1" x14ac:dyDescent="0.35">
      <c r="A351" t="s">
        <v>390</v>
      </c>
      <c r="B351" s="1">
        <v>46005</v>
      </c>
      <c r="C351" t="s">
        <v>33</v>
      </c>
      <c r="D351" t="s">
        <v>12</v>
      </c>
      <c r="E351" s="1">
        <v>46006</v>
      </c>
      <c r="F351" s="1">
        <v>46006</v>
      </c>
      <c r="G351">
        <v>708</v>
      </c>
      <c r="H351">
        <v>137.96</v>
      </c>
    </row>
    <row r="352" spans="1:8" customFormat="1" x14ac:dyDescent="0.35">
      <c r="A352" t="s">
        <v>391</v>
      </c>
      <c r="B352" s="1">
        <v>46005</v>
      </c>
      <c r="C352" t="s">
        <v>28</v>
      </c>
      <c r="D352" t="s">
        <v>10</v>
      </c>
      <c r="E352" s="1">
        <v>46007</v>
      </c>
      <c r="F352" s="1">
        <v>46008</v>
      </c>
      <c r="G352">
        <v>599</v>
      </c>
      <c r="H352">
        <v>112.37</v>
      </c>
    </row>
    <row r="353" spans="1:8" customFormat="1" x14ac:dyDescent="0.35">
      <c r="A353" t="s">
        <v>392</v>
      </c>
      <c r="B353" s="1">
        <v>46005</v>
      </c>
      <c r="C353" t="s">
        <v>19</v>
      </c>
      <c r="D353" t="s">
        <v>4</v>
      </c>
      <c r="E353" s="1">
        <v>46006</v>
      </c>
      <c r="F353" s="1">
        <v>46006</v>
      </c>
      <c r="G353">
        <v>1960</v>
      </c>
      <c r="H353">
        <v>331.69</v>
      </c>
    </row>
    <row r="354" spans="1:8" customFormat="1" x14ac:dyDescent="0.35">
      <c r="A354" t="s">
        <v>393</v>
      </c>
      <c r="B354" s="1">
        <v>46005</v>
      </c>
      <c r="C354" t="s">
        <v>22</v>
      </c>
      <c r="D354" t="s">
        <v>10</v>
      </c>
      <c r="E354" s="1">
        <v>46006</v>
      </c>
      <c r="F354" s="1">
        <v>46006</v>
      </c>
      <c r="G354">
        <v>1618</v>
      </c>
      <c r="H354">
        <v>258.63</v>
      </c>
    </row>
    <row r="355" spans="1:8" customFormat="1" x14ac:dyDescent="0.35">
      <c r="A355" t="s">
        <v>394</v>
      </c>
      <c r="B355" s="1">
        <v>46007</v>
      </c>
      <c r="C355" t="s">
        <v>25</v>
      </c>
      <c r="D355" t="s">
        <v>8</v>
      </c>
      <c r="E355" s="1">
        <v>46009</v>
      </c>
      <c r="F355" s="1">
        <v>46010</v>
      </c>
      <c r="G355">
        <v>1140</v>
      </c>
      <c r="H355">
        <v>193.72</v>
      </c>
    </row>
    <row r="356" spans="1:8" customFormat="1" x14ac:dyDescent="0.35">
      <c r="A356" t="s">
        <v>395</v>
      </c>
      <c r="B356" s="1">
        <v>46007</v>
      </c>
      <c r="C356" t="s">
        <v>31</v>
      </c>
      <c r="D356" t="s">
        <v>4</v>
      </c>
      <c r="E356" s="1">
        <v>46008</v>
      </c>
      <c r="F356" s="1">
        <v>46008</v>
      </c>
      <c r="G356">
        <v>361</v>
      </c>
      <c r="H356">
        <v>90.67</v>
      </c>
    </row>
    <row r="357" spans="1:8" customFormat="1" x14ac:dyDescent="0.35">
      <c r="A357" t="s">
        <v>396</v>
      </c>
      <c r="B357" s="1">
        <v>46007</v>
      </c>
      <c r="C357" t="s">
        <v>31</v>
      </c>
      <c r="D357" t="s">
        <v>4</v>
      </c>
      <c r="E357" s="1">
        <v>46009</v>
      </c>
      <c r="F357" s="1">
        <v>46009</v>
      </c>
      <c r="G357">
        <v>1865</v>
      </c>
      <c r="H357">
        <v>311.12</v>
      </c>
    </row>
    <row r="358" spans="1:8" customFormat="1" x14ac:dyDescent="0.35">
      <c r="A358" t="s">
        <v>397</v>
      </c>
      <c r="B358" s="1">
        <v>46008</v>
      </c>
      <c r="C358" t="s">
        <v>22</v>
      </c>
      <c r="D358" t="s">
        <v>12</v>
      </c>
      <c r="E358" s="1">
        <v>46010</v>
      </c>
      <c r="F358" s="1">
        <v>46009</v>
      </c>
      <c r="G358">
        <v>622</v>
      </c>
      <c r="H358">
        <v>124.29</v>
      </c>
    </row>
    <row r="359" spans="1:8" customFormat="1" x14ac:dyDescent="0.35">
      <c r="A359" t="s">
        <v>398</v>
      </c>
      <c r="B359" s="1">
        <v>46008</v>
      </c>
      <c r="C359" t="s">
        <v>33</v>
      </c>
      <c r="D359" t="s">
        <v>12</v>
      </c>
      <c r="E359" s="1">
        <v>46009</v>
      </c>
      <c r="F359" s="1">
        <v>46008</v>
      </c>
      <c r="G359">
        <v>1385</v>
      </c>
      <c r="H359">
        <v>242.69</v>
      </c>
    </row>
    <row r="360" spans="1:8" customFormat="1" x14ac:dyDescent="0.35">
      <c r="A360" t="s">
        <v>399</v>
      </c>
      <c r="B360" s="1">
        <v>46009</v>
      </c>
      <c r="C360" t="s">
        <v>28</v>
      </c>
      <c r="D360" t="s">
        <v>10</v>
      </c>
      <c r="E360" s="1">
        <v>46011</v>
      </c>
      <c r="F360" s="1">
        <v>46011</v>
      </c>
      <c r="G360">
        <v>892</v>
      </c>
      <c r="H360">
        <v>158.37</v>
      </c>
    </row>
    <row r="361" spans="1:8" customFormat="1" x14ac:dyDescent="0.35">
      <c r="A361" t="s">
        <v>400</v>
      </c>
      <c r="B361" s="1">
        <v>46009</v>
      </c>
      <c r="C361" t="s">
        <v>28</v>
      </c>
      <c r="D361" t="s">
        <v>4</v>
      </c>
      <c r="E361" s="1">
        <v>46011</v>
      </c>
      <c r="F361" s="1">
        <v>46011</v>
      </c>
      <c r="G361">
        <v>1249</v>
      </c>
      <c r="H361">
        <v>217.09</v>
      </c>
    </row>
    <row r="362" spans="1:8" customFormat="1" x14ac:dyDescent="0.35">
      <c r="A362" t="s">
        <v>401</v>
      </c>
      <c r="B362" s="1">
        <v>46010</v>
      </c>
      <c r="C362" t="s">
        <v>25</v>
      </c>
      <c r="D362" t="s">
        <v>10</v>
      </c>
      <c r="E362" s="1">
        <v>46011</v>
      </c>
      <c r="F362" s="1">
        <v>46013</v>
      </c>
      <c r="G362">
        <v>1016</v>
      </c>
      <c r="H362">
        <v>175.36</v>
      </c>
    </row>
    <row r="363" spans="1:8" customFormat="1" x14ac:dyDescent="0.35">
      <c r="A363" t="s">
        <v>402</v>
      </c>
      <c r="B363" s="1">
        <v>46010</v>
      </c>
      <c r="C363" t="s">
        <v>25</v>
      </c>
      <c r="D363" t="s">
        <v>4</v>
      </c>
      <c r="E363" s="1">
        <v>46011</v>
      </c>
      <c r="F363" s="1">
        <v>46011</v>
      </c>
      <c r="G363">
        <v>629</v>
      </c>
      <c r="H363">
        <v>130.74</v>
      </c>
    </row>
    <row r="364" spans="1:8" customFormat="1" x14ac:dyDescent="0.35">
      <c r="A364" t="s">
        <v>403</v>
      </c>
      <c r="B364" s="1">
        <v>46011</v>
      </c>
      <c r="C364" t="s">
        <v>33</v>
      </c>
      <c r="D364" t="s">
        <v>10</v>
      </c>
      <c r="E364" s="1">
        <v>46012</v>
      </c>
      <c r="F364" s="1">
        <v>46012</v>
      </c>
      <c r="G364">
        <v>1986</v>
      </c>
      <c r="H364">
        <v>313.83</v>
      </c>
    </row>
    <row r="365" spans="1:8" customFormat="1" x14ac:dyDescent="0.35">
      <c r="A365" t="s">
        <v>404</v>
      </c>
      <c r="B365" s="1">
        <v>46011</v>
      </c>
      <c r="C365" t="s">
        <v>31</v>
      </c>
      <c r="D365" t="s">
        <v>4</v>
      </c>
      <c r="E365" s="1">
        <v>46013</v>
      </c>
      <c r="F365" s="1">
        <v>46012</v>
      </c>
      <c r="G365">
        <v>182</v>
      </c>
      <c r="H365">
        <v>62.52</v>
      </c>
    </row>
    <row r="366" spans="1:8" customFormat="1" x14ac:dyDescent="0.35">
      <c r="A366" t="s">
        <v>405</v>
      </c>
      <c r="B366" s="1">
        <v>46011</v>
      </c>
      <c r="C366" t="s">
        <v>28</v>
      </c>
      <c r="D366" t="s">
        <v>4</v>
      </c>
      <c r="E366" s="1">
        <v>46013</v>
      </c>
      <c r="F366" s="1">
        <v>46013</v>
      </c>
      <c r="G366">
        <v>1066</v>
      </c>
      <c r="H366">
        <v>195.82</v>
      </c>
    </row>
    <row r="367" spans="1:8" customFormat="1" x14ac:dyDescent="0.35">
      <c r="A367" t="s">
        <v>406</v>
      </c>
      <c r="B367" s="1">
        <v>46012</v>
      </c>
      <c r="C367" t="s">
        <v>25</v>
      </c>
      <c r="D367" t="s">
        <v>12</v>
      </c>
      <c r="E367" s="1">
        <v>46014</v>
      </c>
      <c r="F367" s="1">
        <v>46014</v>
      </c>
      <c r="G367">
        <v>1366</v>
      </c>
      <c r="H367">
        <v>242.89</v>
      </c>
    </row>
    <row r="368" spans="1:8" customFormat="1" x14ac:dyDescent="0.35">
      <c r="A368" t="s">
        <v>407</v>
      </c>
      <c r="B368" s="1">
        <v>46012</v>
      </c>
      <c r="C368" t="s">
        <v>31</v>
      </c>
      <c r="D368" t="s">
        <v>6</v>
      </c>
      <c r="E368" s="1">
        <v>46014</v>
      </c>
      <c r="F368" s="1">
        <v>46014</v>
      </c>
      <c r="G368">
        <v>2290</v>
      </c>
      <c r="H368">
        <v>365.64</v>
      </c>
    </row>
    <row r="369" spans="1:8" customFormat="1" x14ac:dyDescent="0.35">
      <c r="A369" t="s">
        <v>408</v>
      </c>
      <c r="B369" s="1">
        <v>46012</v>
      </c>
      <c r="C369" t="s">
        <v>33</v>
      </c>
      <c r="D369" t="s">
        <v>8</v>
      </c>
      <c r="E369" s="1">
        <v>46014</v>
      </c>
      <c r="F369" s="1">
        <v>46013</v>
      </c>
      <c r="G369">
        <v>20</v>
      </c>
      <c r="H369">
        <v>32.43</v>
      </c>
    </row>
    <row r="370" spans="1:8" customFormat="1" x14ac:dyDescent="0.35">
      <c r="A370" t="s">
        <v>409</v>
      </c>
      <c r="B370" s="1">
        <v>46013</v>
      </c>
      <c r="C370" t="s">
        <v>19</v>
      </c>
      <c r="D370" t="s">
        <v>8</v>
      </c>
      <c r="E370" s="1">
        <v>46014</v>
      </c>
      <c r="F370" s="1">
        <v>46014</v>
      </c>
      <c r="G370">
        <v>1495</v>
      </c>
      <c r="H370">
        <v>242.14</v>
      </c>
    </row>
    <row r="371" spans="1:8" customFormat="1" x14ac:dyDescent="0.35">
      <c r="A371" t="s">
        <v>410</v>
      </c>
      <c r="B371" s="1">
        <v>46013</v>
      </c>
      <c r="C371" t="s">
        <v>22</v>
      </c>
      <c r="D371" t="s">
        <v>6</v>
      </c>
      <c r="E371" s="1">
        <v>46015</v>
      </c>
      <c r="F371" s="1">
        <v>46015</v>
      </c>
      <c r="G371">
        <v>369</v>
      </c>
      <c r="H371">
        <v>88.05</v>
      </c>
    </row>
    <row r="372" spans="1:8" customFormat="1" x14ac:dyDescent="0.35">
      <c r="A372" t="s">
        <v>411</v>
      </c>
      <c r="B372" s="1">
        <v>46013</v>
      </c>
      <c r="C372" t="s">
        <v>31</v>
      </c>
      <c r="D372" t="s">
        <v>12</v>
      </c>
      <c r="E372" s="1">
        <v>46014</v>
      </c>
      <c r="F372" s="1">
        <v>46014</v>
      </c>
      <c r="G372">
        <v>850</v>
      </c>
      <c r="H372">
        <v>164.71</v>
      </c>
    </row>
    <row r="373" spans="1:8" customFormat="1" x14ac:dyDescent="0.35">
      <c r="A373" t="s">
        <v>412</v>
      </c>
      <c r="B373" s="1">
        <v>46014</v>
      </c>
      <c r="C373" t="s">
        <v>33</v>
      </c>
      <c r="D373" t="s">
        <v>8</v>
      </c>
      <c r="E373" s="1">
        <v>46016</v>
      </c>
      <c r="F373" s="1">
        <v>46016</v>
      </c>
      <c r="G373">
        <v>1993</v>
      </c>
      <c r="H373">
        <v>320.52999999999997</v>
      </c>
    </row>
    <row r="374" spans="1:8" customFormat="1" x14ac:dyDescent="0.35">
      <c r="A374" t="s">
        <v>413</v>
      </c>
      <c r="B374" s="1">
        <v>46014</v>
      </c>
      <c r="C374" t="s">
        <v>28</v>
      </c>
      <c r="D374" t="s">
        <v>12</v>
      </c>
      <c r="E374" s="1">
        <v>46016</v>
      </c>
      <c r="F374" s="1">
        <v>46016</v>
      </c>
      <c r="G374">
        <v>2486</v>
      </c>
      <c r="H374">
        <v>398.88</v>
      </c>
    </row>
    <row r="375" spans="1:8" customFormat="1" x14ac:dyDescent="0.35">
      <c r="A375" t="s">
        <v>414</v>
      </c>
      <c r="B375" s="1">
        <v>46014</v>
      </c>
      <c r="C375" t="s">
        <v>25</v>
      </c>
      <c r="D375" t="s">
        <v>10</v>
      </c>
      <c r="E375" s="1">
        <v>46016</v>
      </c>
      <c r="F375" s="1">
        <v>46018</v>
      </c>
      <c r="G375">
        <v>283</v>
      </c>
      <c r="H375">
        <v>56.36</v>
      </c>
    </row>
    <row r="376" spans="1:8" customFormat="1" x14ac:dyDescent="0.35">
      <c r="A376" t="s">
        <v>415</v>
      </c>
      <c r="B376" s="1">
        <v>46014</v>
      </c>
      <c r="C376" t="s">
        <v>25</v>
      </c>
      <c r="D376" t="s">
        <v>12</v>
      </c>
      <c r="E376" s="1">
        <v>46016</v>
      </c>
      <c r="F376" s="1">
        <v>46016</v>
      </c>
      <c r="G376">
        <v>685</v>
      </c>
      <c r="H376">
        <v>131.38</v>
      </c>
    </row>
    <row r="377" spans="1:8" customFormat="1" x14ac:dyDescent="0.35">
      <c r="A377" t="s">
        <v>416</v>
      </c>
      <c r="B377" s="1">
        <v>46015</v>
      </c>
      <c r="C377" t="s">
        <v>31</v>
      </c>
      <c r="D377" t="s">
        <v>12</v>
      </c>
      <c r="E377" s="1">
        <v>46017</v>
      </c>
      <c r="F377" s="1">
        <v>46021</v>
      </c>
      <c r="G377">
        <v>972</v>
      </c>
      <c r="H377">
        <v>179.79</v>
      </c>
    </row>
    <row r="378" spans="1:8" customFormat="1" x14ac:dyDescent="0.35">
      <c r="A378" t="s">
        <v>417</v>
      </c>
      <c r="B378" s="1">
        <v>46015</v>
      </c>
      <c r="C378" t="s">
        <v>19</v>
      </c>
      <c r="D378" t="s">
        <v>6</v>
      </c>
      <c r="E378" s="1">
        <v>46017</v>
      </c>
      <c r="F378" s="1">
        <v>46017</v>
      </c>
      <c r="G378">
        <v>1801</v>
      </c>
      <c r="H378">
        <v>293.27999999999997</v>
      </c>
    </row>
    <row r="379" spans="1:8" customFormat="1" x14ac:dyDescent="0.35">
      <c r="A379" t="s">
        <v>418</v>
      </c>
      <c r="B379" s="1">
        <v>46015</v>
      </c>
      <c r="C379" t="s">
        <v>28</v>
      </c>
      <c r="D379" t="s">
        <v>6</v>
      </c>
      <c r="E379" s="1">
        <v>46016</v>
      </c>
      <c r="F379" s="1">
        <v>46015</v>
      </c>
      <c r="G379">
        <v>728</v>
      </c>
      <c r="H379">
        <v>143.54</v>
      </c>
    </row>
    <row r="380" spans="1:8" customFormat="1" x14ac:dyDescent="0.35">
      <c r="A380" t="s">
        <v>419</v>
      </c>
      <c r="B380" s="1">
        <v>46016</v>
      </c>
      <c r="C380" t="s">
        <v>33</v>
      </c>
      <c r="D380" t="s">
        <v>10</v>
      </c>
      <c r="E380" s="1">
        <v>46017</v>
      </c>
      <c r="F380" s="1">
        <v>46020</v>
      </c>
      <c r="G380">
        <v>1861</v>
      </c>
      <c r="H380">
        <v>294.99</v>
      </c>
    </row>
    <row r="381" spans="1:8" customFormat="1" x14ac:dyDescent="0.35">
      <c r="A381" t="s">
        <v>420</v>
      </c>
      <c r="B381" s="1">
        <v>46016</v>
      </c>
      <c r="C381" t="s">
        <v>19</v>
      </c>
      <c r="D381" t="s">
        <v>12</v>
      </c>
      <c r="E381" s="1">
        <v>46018</v>
      </c>
      <c r="F381" s="1">
        <v>46018</v>
      </c>
      <c r="G381">
        <v>448</v>
      </c>
      <c r="H381">
        <v>104.87</v>
      </c>
    </row>
    <row r="382" spans="1:8" customFormat="1" x14ac:dyDescent="0.35">
      <c r="A382" t="s">
        <v>421</v>
      </c>
      <c r="B382" s="1">
        <v>46017</v>
      </c>
      <c r="C382" t="s">
        <v>22</v>
      </c>
      <c r="D382" t="s">
        <v>8</v>
      </c>
      <c r="E382" s="1">
        <v>46018</v>
      </c>
      <c r="F382" s="1">
        <v>46019</v>
      </c>
      <c r="G382">
        <v>1882</v>
      </c>
      <c r="H382">
        <v>299.64</v>
      </c>
    </row>
    <row r="383" spans="1:8" customFormat="1" x14ac:dyDescent="0.35">
      <c r="A383" t="s">
        <v>422</v>
      </c>
      <c r="B383" s="1">
        <v>46018</v>
      </c>
      <c r="C383" t="s">
        <v>28</v>
      </c>
      <c r="D383" t="s">
        <v>12</v>
      </c>
      <c r="E383" s="1">
        <v>46020</v>
      </c>
      <c r="F383" s="1">
        <v>46020</v>
      </c>
      <c r="G383">
        <v>664</v>
      </c>
      <c r="H383">
        <v>135.69999999999999</v>
      </c>
    </row>
    <row r="384" spans="1:8" customFormat="1" x14ac:dyDescent="0.35">
      <c r="A384" t="s">
        <v>423</v>
      </c>
      <c r="B384" s="1">
        <v>46018</v>
      </c>
      <c r="C384" t="s">
        <v>19</v>
      </c>
      <c r="D384" t="s">
        <v>4</v>
      </c>
      <c r="E384" s="1">
        <v>46020</v>
      </c>
      <c r="F384" s="1">
        <v>46019</v>
      </c>
      <c r="G384">
        <v>1382</v>
      </c>
      <c r="H384">
        <v>238.07</v>
      </c>
    </row>
    <row r="385" spans="1:8" customFormat="1" x14ac:dyDescent="0.35">
      <c r="A385" t="s">
        <v>424</v>
      </c>
      <c r="B385" s="1">
        <v>46018</v>
      </c>
      <c r="C385" t="s">
        <v>22</v>
      </c>
      <c r="D385" t="s">
        <v>12</v>
      </c>
      <c r="E385" s="1">
        <v>46020</v>
      </c>
      <c r="F385" s="1">
        <v>46020</v>
      </c>
      <c r="G385">
        <v>1323</v>
      </c>
      <c r="H385">
        <v>225.9</v>
      </c>
    </row>
    <row r="386" spans="1:8" customFormat="1" x14ac:dyDescent="0.35">
      <c r="A386" t="s">
        <v>425</v>
      </c>
      <c r="B386" s="1">
        <v>46018</v>
      </c>
      <c r="C386" t="s">
        <v>22</v>
      </c>
      <c r="D386" t="s">
        <v>10</v>
      </c>
      <c r="E386" s="1">
        <v>46019</v>
      </c>
      <c r="F386" s="1">
        <v>46019</v>
      </c>
      <c r="G386">
        <v>988</v>
      </c>
      <c r="H386">
        <v>174.17</v>
      </c>
    </row>
    <row r="387" spans="1:8" customFormat="1" x14ac:dyDescent="0.35">
      <c r="A387" t="s">
        <v>426</v>
      </c>
      <c r="B387" s="1">
        <v>46021</v>
      </c>
      <c r="C387" t="s">
        <v>33</v>
      </c>
      <c r="D387" t="s">
        <v>8</v>
      </c>
      <c r="E387" s="1">
        <v>46022</v>
      </c>
      <c r="F387" s="1">
        <v>46021</v>
      </c>
      <c r="G387">
        <v>934</v>
      </c>
      <c r="H387">
        <v>169.4</v>
      </c>
    </row>
    <row r="388" spans="1:8" customFormat="1" x14ac:dyDescent="0.35">
      <c r="A388" t="s">
        <v>427</v>
      </c>
      <c r="B388" s="1">
        <v>46021</v>
      </c>
      <c r="C388" t="s">
        <v>25</v>
      </c>
      <c r="D388" t="s">
        <v>10</v>
      </c>
      <c r="E388" s="1">
        <v>46023</v>
      </c>
      <c r="F388" s="1">
        <v>46022</v>
      </c>
      <c r="G388">
        <v>2353</v>
      </c>
      <c r="H388">
        <v>378.44</v>
      </c>
    </row>
    <row r="389" spans="1:8" customFormat="1" x14ac:dyDescent="0.35">
      <c r="A389" t="s">
        <v>428</v>
      </c>
      <c r="B389" s="1">
        <v>46023</v>
      </c>
      <c r="C389" t="s">
        <v>22</v>
      </c>
      <c r="D389" t="s">
        <v>10</v>
      </c>
      <c r="E389" s="1">
        <v>46024</v>
      </c>
      <c r="F389" s="1">
        <v>46024</v>
      </c>
      <c r="G389">
        <v>290</v>
      </c>
      <c r="H389">
        <v>64.709999999999994</v>
      </c>
    </row>
    <row r="390" spans="1:8" customFormat="1" x14ac:dyDescent="0.35">
      <c r="A390" t="s">
        <v>429</v>
      </c>
      <c r="B390" s="1">
        <v>46023</v>
      </c>
      <c r="C390" t="s">
        <v>31</v>
      </c>
      <c r="D390" t="s">
        <v>8</v>
      </c>
      <c r="E390" s="1">
        <v>46024</v>
      </c>
      <c r="F390" s="1">
        <v>46024</v>
      </c>
      <c r="G390">
        <v>1458</v>
      </c>
      <c r="H390">
        <v>236.09</v>
      </c>
    </row>
    <row r="391" spans="1:8" customFormat="1" x14ac:dyDescent="0.35">
      <c r="A391" t="s">
        <v>430</v>
      </c>
      <c r="B391" s="1">
        <v>46023</v>
      </c>
      <c r="C391" t="s">
        <v>25</v>
      </c>
      <c r="D391" t="s">
        <v>10</v>
      </c>
      <c r="E391" s="1">
        <v>46024</v>
      </c>
      <c r="F391" s="1">
        <v>46024</v>
      </c>
      <c r="G391">
        <v>318</v>
      </c>
      <c r="H391">
        <v>73.56</v>
      </c>
    </row>
    <row r="392" spans="1:8" customFormat="1" x14ac:dyDescent="0.35">
      <c r="A392" t="s">
        <v>431</v>
      </c>
      <c r="B392" s="1">
        <v>46023</v>
      </c>
      <c r="C392" t="s">
        <v>28</v>
      </c>
      <c r="D392" t="s">
        <v>12</v>
      </c>
      <c r="E392" s="1">
        <v>46025</v>
      </c>
      <c r="F392" s="1">
        <v>46025</v>
      </c>
      <c r="G392">
        <v>2120</v>
      </c>
      <c r="H392">
        <v>348.7</v>
      </c>
    </row>
    <row r="393" spans="1:8" customFormat="1" x14ac:dyDescent="0.35">
      <c r="A393" t="s">
        <v>432</v>
      </c>
      <c r="B393" s="1">
        <v>46024</v>
      </c>
      <c r="C393" t="s">
        <v>22</v>
      </c>
      <c r="D393" t="s">
        <v>8</v>
      </c>
      <c r="E393" s="1">
        <v>46025</v>
      </c>
      <c r="F393" s="1">
        <v>46024</v>
      </c>
      <c r="G393">
        <v>1533</v>
      </c>
      <c r="H393">
        <v>256.32</v>
      </c>
    </row>
    <row r="394" spans="1:8" customFormat="1" x14ac:dyDescent="0.35">
      <c r="A394" t="s">
        <v>433</v>
      </c>
      <c r="B394" s="1">
        <v>46024</v>
      </c>
      <c r="C394" t="s">
        <v>25</v>
      </c>
      <c r="D394" t="s">
        <v>6</v>
      </c>
      <c r="E394" s="1">
        <v>46025</v>
      </c>
      <c r="F394" s="1">
        <v>46025</v>
      </c>
      <c r="G394">
        <v>2005</v>
      </c>
      <c r="H394">
        <v>332.24</v>
      </c>
    </row>
    <row r="395" spans="1:8" customFormat="1" x14ac:dyDescent="0.35">
      <c r="A395" t="s">
        <v>434</v>
      </c>
      <c r="B395" s="1">
        <v>46024</v>
      </c>
      <c r="C395" t="s">
        <v>22</v>
      </c>
      <c r="D395" t="s">
        <v>4</v>
      </c>
      <c r="E395" s="1">
        <v>46026</v>
      </c>
      <c r="F395" s="1">
        <v>46026</v>
      </c>
      <c r="G395">
        <v>389</v>
      </c>
      <c r="H395">
        <v>91.51</v>
      </c>
    </row>
    <row r="396" spans="1:8" customFormat="1" x14ac:dyDescent="0.35">
      <c r="A396" t="s">
        <v>435</v>
      </c>
      <c r="B396" s="1">
        <v>46024</v>
      </c>
      <c r="C396" t="s">
        <v>19</v>
      </c>
      <c r="D396" t="s">
        <v>4</v>
      </c>
      <c r="E396" s="1">
        <v>46026</v>
      </c>
      <c r="F396" s="1">
        <v>46026</v>
      </c>
      <c r="G396">
        <v>526</v>
      </c>
      <c r="H396">
        <v>113.21</v>
      </c>
    </row>
    <row r="397" spans="1:8" customFormat="1" x14ac:dyDescent="0.35">
      <c r="A397" t="s">
        <v>436</v>
      </c>
      <c r="B397" s="1">
        <v>46025</v>
      </c>
      <c r="C397" t="s">
        <v>25</v>
      </c>
      <c r="D397" t="s">
        <v>6</v>
      </c>
      <c r="E397" s="1">
        <v>46027</v>
      </c>
      <c r="F397" s="1">
        <v>46027</v>
      </c>
      <c r="G397">
        <v>1329</v>
      </c>
      <c r="H397">
        <v>228.07</v>
      </c>
    </row>
    <row r="398" spans="1:8" customFormat="1" x14ac:dyDescent="0.35">
      <c r="A398" t="s">
        <v>437</v>
      </c>
      <c r="B398" s="1">
        <v>46025</v>
      </c>
      <c r="C398" t="s">
        <v>31</v>
      </c>
      <c r="D398" t="s">
        <v>12</v>
      </c>
      <c r="E398" s="1">
        <v>46026</v>
      </c>
      <c r="F398" s="1">
        <v>46025</v>
      </c>
      <c r="G398">
        <v>2388</v>
      </c>
      <c r="H398">
        <v>384.41</v>
      </c>
    </row>
    <row r="399" spans="1:8" customFormat="1" x14ac:dyDescent="0.35">
      <c r="A399" t="s">
        <v>438</v>
      </c>
      <c r="B399" s="1">
        <v>46025</v>
      </c>
      <c r="C399" t="s">
        <v>28</v>
      </c>
      <c r="D399" t="s">
        <v>4</v>
      </c>
      <c r="E399" s="1">
        <v>46026</v>
      </c>
      <c r="F399" s="1">
        <v>46026</v>
      </c>
      <c r="G399">
        <v>1402</v>
      </c>
      <c r="H399">
        <v>238.01</v>
      </c>
    </row>
    <row r="400" spans="1:8" customFormat="1" x14ac:dyDescent="0.35">
      <c r="A400" t="s">
        <v>439</v>
      </c>
      <c r="B400" s="1">
        <v>46027</v>
      </c>
      <c r="C400" t="s">
        <v>19</v>
      </c>
      <c r="D400" t="s">
        <v>6</v>
      </c>
      <c r="E400" s="1">
        <v>46029</v>
      </c>
      <c r="F400" s="1">
        <v>46028</v>
      </c>
      <c r="G400">
        <v>847</v>
      </c>
      <c r="H400">
        <v>153.32</v>
      </c>
    </row>
    <row r="401" spans="1:8" customFormat="1" x14ac:dyDescent="0.35">
      <c r="A401" t="s">
        <v>440</v>
      </c>
      <c r="B401" s="1">
        <v>46027</v>
      </c>
      <c r="C401" t="s">
        <v>28</v>
      </c>
      <c r="D401" t="s">
        <v>4</v>
      </c>
      <c r="E401" s="1">
        <v>46028</v>
      </c>
      <c r="F401" s="1">
        <v>46028</v>
      </c>
      <c r="G401">
        <v>996</v>
      </c>
      <c r="H401">
        <v>179.13</v>
      </c>
    </row>
    <row r="402" spans="1:8" customFormat="1" x14ac:dyDescent="0.35">
      <c r="A402" t="s">
        <v>441</v>
      </c>
      <c r="B402" s="1">
        <v>46027</v>
      </c>
      <c r="C402" t="s">
        <v>28</v>
      </c>
      <c r="D402" t="s">
        <v>10</v>
      </c>
      <c r="E402" s="1">
        <v>46029</v>
      </c>
      <c r="F402" s="1">
        <v>46028</v>
      </c>
      <c r="G402">
        <v>2238</v>
      </c>
      <c r="H402">
        <v>354.76</v>
      </c>
    </row>
    <row r="403" spans="1:8" customFormat="1" x14ac:dyDescent="0.35">
      <c r="A403" t="s">
        <v>442</v>
      </c>
      <c r="B403" s="1">
        <v>46028</v>
      </c>
      <c r="C403" t="s">
        <v>22</v>
      </c>
      <c r="D403" t="s">
        <v>6</v>
      </c>
      <c r="E403" s="1">
        <v>46030</v>
      </c>
      <c r="F403" s="1">
        <v>46030</v>
      </c>
      <c r="G403">
        <v>937</v>
      </c>
      <c r="H403">
        <v>177.3</v>
      </c>
    </row>
    <row r="404" spans="1:8" customFormat="1" x14ac:dyDescent="0.35">
      <c r="A404" t="s">
        <v>443</v>
      </c>
      <c r="B404" s="1">
        <v>46028</v>
      </c>
      <c r="C404" t="s">
        <v>33</v>
      </c>
      <c r="D404" t="s">
        <v>10</v>
      </c>
      <c r="E404" s="1">
        <v>46030</v>
      </c>
      <c r="F404" s="1">
        <v>46029</v>
      </c>
      <c r="G404">
        <v>1066</v>
      </c>
      <c r="H404">
        <v>186.84</v>
      </c>
    </row>
    <row r="405" spans="1:8" customFormat="1" x14ac:dyDescent="0.35">
      <c r="A405" t="s">
        <v>444</v>
      </c>
      <c r="B405" s="1">
        <v>46028</v>
      </c>
      <c r="C405" t="s">
        <v>28</v>
      </c>
      <c r="D405" t="s">
        <v>10</v>
      </c>
      <c r="E405" s="1">
        <v>46030</v>
      </c>
      <c r="F405" s="1">
        <v>46030</v>
      </c>
      <c r="G405">
        <v>837</v>
      </c>
      <c r="H405">
        <v>141.19</v>
      </c>
    </row>
    <row r="406" spans="1:8" customFormat="1" x14ac:dyDescent="0.35">
      <c r="A406" t="s">
        <v>445</v>
      </c>
      <c r="B406" s="1">
        <v>46029</v>
      </c>
      <c r="C406" t="s">
        <v>31</v>
      </c>
      <c r="D406" t="s">
        <v>4</v>
      </c>
      <c r="E406" s="1">
        <v>46031</v>
      </c>
      <c r="F406" s="1">
        <v>46035</v>
      </c>
      <c r="G406">
        <v>474</v>
      </c>
      <c r="H406">
        <v>104.52</v>
      </c>
    </row>
    <row r="407" spans="1:8" customFormat="1" x14ac:dyDescent="0.35">
      <c r="A407" t="s">
        <v>446</v>
      </c>
      <c r="B407" s="1">
        <v>46029</v>
      </c>
      <c r="C407" t="s">
        <v>33</v>
      </c>
      <c r="D407" t="s">
        <v>6</v>
      </c>
      <c r="E407" s="1">
        <v>46031</v>
      </c>
      <c r="F407" s="1">
        <v>46030</v>
      </c>
      <c r="G407">
        <v>2190</v>
      </c>
      <c r="H407">
        <v>355.04</v>
      </c>
    </row>
    <row r="408" spans="1:8" customFormat="1" x14ac:dyDescent="0.35">
      <c r="A408" t="s">
        <v>447</v>
      </c>
      <c r="B408" s="1">
        <v>46029</v>
      </c>
      <c r="C408" t="s">
        <v>33</v>
      </c>
      <c r="D408" t="s">
        <v>10</v>
      </c>
      <c r="E408" s="1">
        <v>46030</v>
      </c>
      <c r="F408" s="1">
        <v>46029</v>
      </c>
      <c r="G408">
        <v>1762</v>
      </c>
      <c r="H408">
        <v>280.38</v>
      </c>
    </row>
    <row r="409" spans="1:8" customFormat="1" x14ac:dyDescent="0.35">
      <c r="A409" t="s">
        <v>448</v>
      </c>
      <c r="B409" s="1">
        <v>46030</v>
      </c>
      <c r="C409" t="s">
        <v>19</v>
      </c>
      <c r="D409" t="s">
        <v>4</v>
      </c>
      <c r="E409" s="1">
        <v>46032</v>
      </c>
      <c r="F409" s="1">
        <v>46032</v>
      </c>
      <c r="G409">
        <v>654</v>
      </c>
      <c r="H409">
        <v>125.45</v>
      </c>
    </row>
    <row r="410" spans="1:8" customFormat="1" x14ac:dyDescent="0.35">
      <c r="A410" t="s">
        <v>449</v>
      </c>
      <c r="B410" s="1">
        <v>46030</v>
      </c>
      <c r="C410" t="s">
        <v>28</v>
      </c>
      <c r="D410" t="s">
        <v>12</v>
      </c>
      <c r="E410" s="1">
        <v>46031</v>
      </c>
      <c r="F410" s="1">
        <v>46031</v>
      </c>
      <c r="G410">
        <v>1053</v>
      </c>
      <c r="H410">
        <v>182.52</v>
      </c>
    </row>
    <row r="411" spans="1:8" customFormat="1" x14ac:dyDescent="0.35">
      <c r="A411" t="s">
        <v>450</v>
      </c>
      <c r="B411" s="1">
        <v>46030</v>
      </c>
      <c r="C411" t="s">
        <v>33</v>
      </c>
      <c r="D411" t="s">
        <v>8</v>
      </c>
      <c r="E411" s="1">
        <v>46031</v>
      </c>
      <c r="F411" s="1">
        <v>46030</v>
      </c>
      <c r="G411">
        <v>772</v>
      </c>
      <c r="H411">
        <v>139.69</v>
      </c>
    </row>
    <row r="412" spans="1:8" customFormat="1" x14ac:dyDescent="0.35">
      <c r="A412" t="s">
        <v>451</v>
      </c>
      <c r="B412" s="1">
        <v>46030</v>
      </c>
      <c r="C412" t="s">
        <v>22</v>
      </c>
      <c r="D412" t="s">
        <v>10</v>
      </c>
      <c r="E412" s="1">
        <v>46032</v>
      </c>
      <c r="F412" s="1">
        <v>46032</v>
      </c>
      <c r="G412">
        <v>1092</v>
      </c>
      <c r="H412">
        <v>186.2</v>
      </c>
    </row>
    <row r="413" spans="1:8" customFormat="1" x14ac:dyDescent="0.35">
      <c r="A413" t="s">
        <v>452</v>
      </c>
      <c r="B413" s="1">
        <v>46030</v>
      </c>
      <c r="C413" t="s">
        <v>25</v>
      </c>
      <c r="D413" t="s">
        <v>8</v>
      </c>
      <c r="E413" s="1">
        <v>46032</v>
      </c>
      <c r="F413" s="1">
        <v>46032</v>
      </c>
      <c r="G413">
        <v>1832</v>
      </c>
      <c r="H413">
        <v>302.91000000000003</v>
      </c>
    </row>
    <row r="414" spans="1:8" customFormat="1" x14ac:dyDescent="0.35">
      <c r="A414" t="s">
        <v>453</v>
      </c>
      <c r="B414" s="1">
        <v>46030</v>
      </c>
      <c r="C414" t="s">
        <v>19</v>
      </c>
      <c r="D414" t="s">
        <v>10</v>
      </c>
      <c r="E414" s="1">
        <v>46031</v>
      </c>
      <c r="F414" s="1">
        <v>46031</v>
      </c>
      <c r="G414">
        <v>1489</v>
      </c>
      <c r="H414">
        <v>247.17</v>
      </c>
    </row>
    <row r="415" spans="1:8" customFormat="1" x14ac:dyDescent="0.35">
      <c r="A415" t="s">
        <v>454</v>
      </c>
      <c r="B415" s="1">
        <v>46030</v>
      </c>
      <c r="C415" t="s">
        <v>19</v>
      </c>
      <c r="D415" t="s">
        <v>6</v>
      </c>
      <c r="E415" s="1">
        <v>46032</v>
      </c>
      <c r="F415" s="1">
        <v>46032</v>
      </c>
      <c r="G415">
        <v>1486</v>
      </c>
      <c r="H415">
        <v>258.54000000000002</v>
      </c>
    </row>
    <row r="416" spans="1:8" customFormat="1" x14ac:dyDescent="0.35">
      <c r="A416" t="s">
        <v>455</v>
      </c>
      <c r="B416" s="1">
        <v>46031</v>
      </c>
      <c r="C416" t="s">
        <v>22</v>
      </c>
      <c r="D416" t="s">
        <v>10</v>
      </c>
      <c r="E416" s="1">
        <v>46033</v>
      </c>
      <c r="F416" s="1">
        <v>46033</v>
      </c>
      <c r="G416">
        <v>595</v>
      </c>
      <c r="H416">
        <v>106.47</v>
      </c>
    </row>
    <row r="417" spans="1:8" customFormat="1" x14ac:dyDescent="0.35">
      <c r="A417" t="s">
        <v>456</v>
      </c>
      <c r="B417" s="1">
        <v>46031</v>
      </c>
      <c r="C417" t="s">
        <v>25</v>
      </c>
      <c r="D417" t="s">
        <v>6</v>
      </c>
      <c r="E417" s="1">
        <v>46033</v>
      </c>
      <c r="F417" s="1">
        <v>46033</v>
      </c>
      <c r="G417">
        <v>1238</v>
      </c>
      <c r="H417">
        <v>214.31</v>
      </c>
    </row>
    <row r="418" spans="1:8" customFormat="1" x14ac:dyDescent="0.35">
      <c r="A418" t="s">
        <v>457</v>
      </c>
      <c r="B418" s="1">
        <v>46031</v>
      </c>
      <c r="C418" t="s">
        <v>19</v>
      </c>
      <c r="D418" t="s">
        <v>12</v>
      </c>
      <c r="E418" s="1">
        <v>46032</v>
      </c>
      <c r="F418" s="1">
        <v>46032</v>
      </c>
      <c r="G418">
        <v>1142</v>
      </c>
      <c r="H418">
        <v>206.07</v>
      </c>
    </row>
    <row r="419" spans="1:8" customFormat="1" x14ac:dyDescent="0.35">
      <c r="A419" t="s">
        <v>458</v>
      </c>
      <c r="B419" s="1">
        <v>46031</v>
      </c>
      <c r="C419" t="s">
        <v>28</v>
      </c>
      <c r="D419" t="s">
        <v>6</v>
      </c>
      <c r="E419" s="1">
        <v>46032</v>
      </c>
      <c r="F419" s="1">
        <v>46032</v>
      </c>
      <c r="G419">
        <v>1796</v>
      </c>
      <c r="H419">
        <v>295.3</v>
      </c>
    </row>
    <row r="420" spans="1:8" customFormat="1" x14ac:dyDescent="0.35">
      <c r="A420" t="s">
        <v>459</v>
      </c>
      <c r="B420" s="1">
        <v>46031</v>
      </c>
      <c r="C420" t="s">
        <v>28</v>
      </c>
      <c r="D420" t="s">
        <v>8</v>
      </c>
      <c r="E420" s="1">
        <v>46033</v>
      </c>
      <c r="F420" s="1">
        <v>46033</v>
      </c>
      <c r="G420">
        <v>1641</v>
      </c>
      <c r="H420">
        <v>264.02999999999997</v>
      </c>
    </row>
    <row r="421" spans="1:8" customFormat="1" x14ac:dyDescent="0.35">
      <c r="A421" t="s">
        <v>460</v>
      </c>
      <c r="B421" s="1">
        <v>46032</v>
      </c>
      <c r="C421" t="s">
        <v>33</v>
      </c>
      <c r="D421" t="s">
        <v>10</v>
      </c>
      <c r="E421" s="1">
        <v>46033</v>
      </c>
      <c r="F421" s="1">
        <v>46032</v>
      </c>
      <c r="G421">
        <v>1187</v>
      </c>
      <c r="H421">
        <v>206.26</v>
      </c>
    </row>
    <row r="422" spans="1:8" customFormat="1" x14ac:dyDescent="0.35">
      <c r="A422" t="s">
        <v>461</v>
      </c>
      <c r="B422" s="1">
        <v>46032</v>
      </c>
      <c r="C422" t="s">
        <v>25</v>
      </c>
      <c r="D422" t="s">
        <v>4</v>
      </c>
      <c r="E422" s="1">
        <v>46033</v>
      </c>
      <c r="F422" s="1">
        <v>46034</v>
      </c>
      <c r="G422">
        <v>1484</v>
      </c>
      <c r="H422">
        <v>260.52</v>
      </c>
    </row>
    <row r="423" spans="1:8" customFormat="1" x14ac:dyDescent="0.35">
      <c r="A423" t="s">
        <v>462</v>
      </c>
      <c r="B423" s="1">
        <v>46032</v>
      </c>
      <c r="C423" t="s">
        <v>28</v>
      </c>
      <c r="D423" t="s">
        <v>12</v>
      </c>
      <c r="E423" s="1">
        <v>46034</v>
      </c>
      <c r="F423" s="1">
        <v>46033</v>
      </c>
      <c r="G423">
        <v>2010</v>
      </c>
      <c r="H423">
        <v>326.89999999999998</v>
      </c>
    </row>
    <row r="424" spans="1:8" customFormat="1" x14ac:dyDescent="0.35">
      <c r="A424" t="s">
        <v>463</v>
      </c>
      <c r="B424" s="1">
        <v>46033</v>
      </c>
      <c r="C424" t="s">
        <v>33</v>
      </c>
      <c r="D424" t="s">
        <v>10</v>
      </c>
      <c r="E424" s="1">
        <v>46035</v>
      </c>
      <c r="F424" s="1">
        <v>46036</v>
      </c>
      <c r="G424">
        <v>2213</v>
      </c>
      <c r="H424">
        <v>352.3</v>
      </c>
    </row>
    <row r="425" spans="1:8" customFormat="1" x14ac:dyDescent="0.35">
      <c r="A425" t="s">
        <v>464</v>
      </c>
      <c r="B425" s="1">
        <v>46034</v>
      </c>
      <c r="C425" t="s">
        <v>19</v>
      </c>
      <c r="D425" t="s">
        <v>4</v>
      </c>
      <c r="E425" s="1">
        <v>46036</v>
      </c>
      <c r="F425" s="1">
        <v>46035</v>
      </c>
      <c r="G425">
        <v>2478</v>
      </c>
      <c r="H425">
        <v>408.96</v>
      </c>
    </row>
    <row r="426" spans="1:8" customFormat="1" x14ac:dyDescent="0.35">
      <c r="A426" t="s">
        <v>465</v>
      </c>
      <c r="B426" s="1">
        <v>46034</v>
      </c>
      <c r="C426" t="s">
        <v>31</v>
      </c>
      <c r="D426" t="s">
        <v>6</v>
      </c>
      <c r="E426" s="1">
        <v>46036</v>
      </c>
      <c r="F426" s="1">
        <v>46036</v>
      </c>
      <c r="G426">
        <v>1317</v>
      </c>
      <c r="H426">
        <v>223.67</v>
      </c>
    </row>
    <row r="427" spans="1:8" customFormat="1" x14ac:dyDescent="0.35">
      <c r="A427" t="s">
        <v>466</v>
      </c>
      <c r="B427" s="1">
        <v>46034</v>
      </c>
      <c r="C427" t="s">
        <v>25</v>
      </c>
      <c r="D427" t="s">
        <v>10</v>
      </c>
      <c r="E427" s="1">
        <v>46035</v>
      </c>
      <c r="F427" s="1">
        <v>46034</v>
      </c>
      <c r="G427">
        <v>1677</v>
      </c>
      <c r="H427">
        <v>275.91000000000003</v>
      </c>
    </row>
    <row r="428" spans="1:8" customFormat="1" x14ac:dyDescent="0.35">
      <c r="A428" t="s">
        <v>467</v>
      </c>
      <c r="B428" s="1">
        <v>46035</v>
      </c>
      <c r="C428" t="s">
        <v>33</v>
      </c>
      <c r="D428" t="s">
        <v>8</v>
      </c>
      <c r="E428" s="1">
        <v>46037</v>
      </c>
      <c r="F428" s="1">
        <v>46037</v>
      </c>
      <c r="G428">
        <v>2117</v>
      </c>
      <c r="H428">
        <v>348.73</v>
      </c>
    </row>
    <row r="429" spans="1:8" customFormat="1" x14ac:dyDescent="0.35">
      <c r="A429" t="s">
        <v>468</v>
      </c>
      <c r="B429" s="1">
        <v>46036</v>
      </c>
      <c r="C429" t="s">
        <v>31</v>
      </c>
      <c r="D429" t="s">
        <v>12</v>
      </c>
      <c r="E429" s="1">
        <v>46037</v>
      </c>
      <c r="F429" s="1">
        <v>46036</v>
      </c>
      <c r="G429">
        <v>213</v>
      </c>
      <c r="H429">
        <v>65.959999999999994</v>
      </c>
    </row>
    <row r="430" spans="1:8" customFormat="1" x14ac:dyDescent="0.35">
      <c r="A430" t="s">
        <v>469</v>
      </c>
      <c r="B430" s="1">
        <v>46036</v>
      </c>
      <c r="C430" t="s">
        <v>25</v>
      </c>
      <c r="D430" t="s">
        <v>10</v>
      </c>
      <c r="E430" s="1">
        <v>46038</v>
      </c>
      <c r="F430" s="1">
        <v>46037</v>
      </c>
      <c r="G430">
        <v>995</v>
      </c>
      <c r="H430">
        <v>170.95</v>
      </c>
    </row>
    <row r="431" spans="1:8" customFormat="1" x14ac:dyDescent="0.35">
      <c r="A431" t="s">
        <v>470</v>
      </c>
      <c r="B431" s="1">
        <v>46036</v>
      </c>
      <c r="C431" t="s">
        <v>28</v>
      </c>
      <c r="D431" t="s">
        <v>6</v>
      </c>
      <c r="E431" s="1">
        <v>46038</v>
      </c>
      <c r="F431" s="1">
        <v>46037</v>
      </c>
      <c r="G431">
        <v>942</v>
      </c>
      <c r="H431">
        <v>164.52</v>
      </c>
    </row>
    <row r="432" spans="1:8" customFormat="1" x14ac:dyDescent="0.35">
      <c r="A432" t="s">
        <v>471</v>
      </c>
      <c r="B432" s="1">
        <v>46037</v>
      </c>
      <c r="C432" t="s">
        <v>31</v>
      </c>
      <c r="D432" t="s">
        <v>6</v>
      </c>
      <c r="E432" s="1">
        <v>46038</v>
      </c>
      <c r="F432" s="1">
        <v>46040</v>
      </c>
      <c r="G432">
        <v>1619</v>
      </c>
      <c r="H432">
        <v>279.17</v>
      </c>
    </row>
    <row r="433" spans="1:8" customFormat="1" x14ac:dyDescent="0.35">
      <c r="A433" t="s">
        <v>472</v>
      </c>
      <c r="B433" s="1">
        <v>46037</v>
      </c>
      <c r="C433" t="s">
        <v>22</v>
      </c>
      <c r="D433" t="s">
        <v>4</v>
      </c>
      <c r="E433" s="1">
        <v>46038</v>
      </c>
      <c r="F433" s="1">
        <v>46037</v>
      </c>
      <c r="G433">
        <v>1597</v>
      </c>
      <c r="H433">
        <v>276.76</v>
      </c>
    </row>
    <row r="434" spans="1:8" customFormat="1" x14ac:dyDescent="0.35">
      <c r="A434" t="s">
        <v>473</v>
      </c>
      <c r="B434" s="1">
        <v>46037</v>
      </c>
      <c r="C434" t="s">
        <v>19</v>
      </c>
      <c r="D434" t="s">
        <v>12</v>
      </c>
      <c r="E434" s="1">
        <v>46038</v>
      </c>
      <c r="F434" s="1">
        <v>46037</v>
      </c>
      <c r="G434">
        <v>1148</v>
      </c>
      <c r="H434">
        <v>199.04</v>
      </c>
    </row>
    <row r="435" spans="1:8" customFormat="1" x14ac:dyDescent="0.35">
      <c r="A435" t="s">
        <v>474</v>
      </c>
      <c r="B435" s="1">
        <v>46038</v>
      </c>
      <c r="C435" t="s">
        <v>28</v>
      </c>
      <c r="D435" t="s">
        <v>10</v>
      </c>
      <c r="E435" s="1">
        <v>46040</v>
      </c>
      <c r="F435" s="1">
        <v>46040</v>
      </c>
      <c r="G435">
        <v>2263</v>
      </c>
      <c r="H435">
        <v>353.25</v>
      </c>
    </row>
    <row r="436" spans="1:8" customFormat="1" x14ac:dyDescent="0.35">
      <c r="A436" t="s">
        <v>475</v>
      </c>
      <c r="B436" s="1">
        <v>46039</v>
      </c>
      <c r="C436" t="s">
        <v>19</v>
      </c>
      <c r="D436" t="s">
        <v>12</v>
      </c>
      <c r="E436" s="1">
        <v>46040</v>
      </c>
      <c r="F436" s="1">
        <v>46040</v>
      </c>
      <c r="G436">
        <v>2218</v>
      </c>
      <c r="H436">
        <v>358.58</v>
      </c>
    </row>
    <row r="437" spans="1:8" customFormat="1" x14ac:dyDescent="0.35">
      <c r="A437" t="s">
        <v>476</v>
      </c>
      <c r="B437" s="1">
        <v>46039</v>
      </c>
      <c r="C437" t="s">
        <v>19</v>
      </c>
      <c r="D437" t="s">
        <v>4</v>
      </c>
      <c r="E437" s="1">
        <v>46041</v>
      </c>
      <c r="F437" s="1">
        <v>46045</v>
      </c>
      <c r="G437">
        <v>1784</v>
      </c>
      <c r="H437">
        <v>306.43</v>
      </c>
    </row>
    <row r="438" spans="1:8" customFormat="1" x14ac:dyDescent="0.35">
      <c r="A438" t="s">
        <v>477</v>
      </c>
      <c r="B438" s="1">
        <v>46039</v>
      </c>
      <c r="C438" t="s">
        <v>25</v>
      </c>
      <c r="D438" t="s">
        <v>8</v>
      </c>
      <c r="E438" s="1">
        <v>46041</v>
      </c>
      <c r="F438" s="1">
        <v>46040</v>
      </c>
      <c r="G438">
        <v>229</v>
      </c>
      <c r="H438">
        <v>63.75</v>
      </c>
    </row>
    <row r="439" spans="1:8" customFormat="1" x14ac:dyDescent="0.35">
      <c r="A439" t="s">
        <v>478</v>
      </c>
      <c r="B439" s="1">
        <v>46039</v>
      </c>
      <c r="C439" t="s">
        <v>25</v>
      </c>
      <c r="D439" t="s">
        <v>4</v>
      </c>
      <c r="E439" s="1">
        <v>46040</v>
      </c>
      <c r="F439" s="1">
        <v>46040</v>
      </c>
      <c r="G439">
        <v>972</v>
      </c>
      <c r="H439">
        <v>173.48</v>
      </c>
    </row>
    <row r="440" spans="1:8" customFormat="1" x14ac:dyDescent="0.35">
      <c r="A440" t="s">
        <v>479</v>
      </c>
      <c r="B440" s="1">
        <v>46039</v>
      </c>
      <c r="C440" t="s">
        <v>19</v>
      </c>
      <c r="D440" t="s">
        <v>4</v>
      </c>
      <c r="E440" s="1">
        <v>46040</v>
      </c>
      <c r="F440" s="1">
        <v>46043</v>
      </c>
      <c r="G440">
        <v>2295</v>
      </c>
      <c r="H440">
        <v>371.81</v>
      </c>
    </row>
    <row r="441" spans="1:8" customFormat="1" x14ac:dyDescent="0.35">
      <c r="A441" t="s">
        <v>480</v>
      </c>
      <c r="B441" s="1">
        <v>46039</v>
      </c>
      <c r="C441" t="s">
        <v>25</v>
      </c>
      <c r="D441" t="s">
        <v>6</v>
      </c>
      <c r="E441" s="1">
        <v>46040</v>
      </c>
      <c r="F441" s="1">
        <v>46042</v>
      </c>
      <c r="G441">
        <v>802</v>
      </c>
      <c r="H441">
        <v>146.82</v>
      </c>
    </row>
    <row r="442" spans="1:8" customFormat="1" x14ac:dyDescent="0.35">
      <c r="A442" t="s">
        <v>481</v>
      </c>
      <c r="B442" s="1">
        <v>46039</v>
      </c>
      <c r="C442" t="s">
        <v>33</v>
      </c>
      <c r="D442" t="s">
        <v>8</v>
      </c>
      <c r="E442" s="1">
        <v>46041</v>
      </c>
      <c r="F442" s="1">
        <v>46041</v>
      </c>
      <c r="G442">
        <v>2359</v>
      </c>
      <c r="H442">
        <v>380.25</v>
      </c>
    </row>
    <row r="443" spans="1:8" customFormat="1" x14ac:dyDescent="0.35">
      <c r="A443" t="s">
        <v>482</v>
      </c>
      <c r="B443" s="1">
        <v>46040</v>
      </c>
      <c r="C443" t="s">
        <v>22</v>
      </c>
      <c r="D443" t="s">
        <v>4</v>
      </c>
      <c r="E443" s="1">
        <v>46042</v>
      </c>
      <c r="F443" s="1">
        <v>46042</v>
      </c>
      <c r="G443">
        <v>727</v>
      </c>
      <c r="H443">
        <v>148.01</v>
      </c>
    </row>
    <row r="444" spans="1:8" customFormat="1" x14ac:dyDescent="0.35">
      <c r="A444" t="s">
        <v>483</v>
      </c>
      <c r="B444" s="1">
        <v>46040</v>
      </c>
      <c r="C444" t="s">
        <v>28</v>
      </c>
      <c r="D444" t="s">
        <v>4</v>
      </c>
      <c r="E444" s="1">
        <v>46041</v>
      </c>
      <c r="F444" s="1">
        <v>46041</v>
      </c>
      <c r="G444">
        <v>1289</v>
      </c>
      <c r="H444">
        <v>220.19</v>
      </c>
    </row>
    <row r="445" spans="1:8" customFormat="1" x14ac:dyDescent="0.35">
      <c r="A445" t="s">
        <v>484</v>
      </c>
      <c r="B445" s="1">
        <v>46041</v>
      </c>
      <c r="C445" t="s">
        <v>25</v>
      </c>
      <c r="D445" t="s">
        <v>10</v>
      </c>
      <c r="E445" s="1">
        <v>46043</v>
      </c>
      <c r="F445" s="1">
        <v>46042</v>
      </c>
      <c r="G445">
        <v>938</v>
      </c>
      <c r="H445">
        <v>165.17</v>
      </c>
    </row>
    <row r="446" spans="1:8" customFormat="1" x14ac:dyDescent="0.35">
      <c r="A446" t="s">
        <v>485</v>
      </c>
      <c r="B446" s="1">
        <v>46042</v>
      </c>
      <c r="C446" t="s">
        <v>33</v>
      </c>
      <c r="D446" t="s">
        <v>10</v>
      </c>
      <c r="E446" s="1">
        <v>46043</v>
      </c>
      <c r="F446" s="1">
        <v>46043</v>
      </c>
      <c r="G446">
        <v>2197</v>
      </c>
      <c r="H446">
        <v>343.2</v>
      </c>
    </row>
    <row r="447" spans="1:8" customFormat="1" x14ac:dyDescent="0.35">
      <c r="A447" t="s">
        <v>486</v>
      </c>
      <c r="B447" s="1">
        <v>46042</v>
      </c>
      <c r="C447" t="s">
        <v>31</v>
      </c>
      <c r="D447" t="s">
        <v>6</v>
      </c>
      <c r="E447" s="1">
        <v>46044</v>
      </c>
      <c r="F447" s="1">
        <v>46045</v>
      </c>
      <c r="G447">
        <v>688</v>
      </c>
      <c r="H447">
        <v>135.77000000000001</v>
      </c>
    </row>
    <row r="448" spans="1:8" customFormat="1" x14ac:dyDescent="0.35">
      <c r="A448" t="s">
        <v>487</v>
      </c>
      <c r="B448" s="1">
        <v>46042</v>
      </c>
      <c r="C448" t="s">
        <v>25</v>
      </c>
      <c r="D448" t="s">
        <v>12</v>
      </c>
      <c r="E448" s="1">
        <v>46043</v>
      </c>
      <c r="F448" s="1">
        <v>46043</v>
      </c>
      <c r="G448">
        <v>1670</v>
      </c>
      <c r="H448">
        <v>286.8</v>
      </c>
    </row>
    <row r="449" spans="1:8" customFormat="1" x14ac:dyDescent="0.35">
      <c r="A449" t="s">
        <v>488</v>
      </c>
      <c r="B449" s="1">
        <v>46042</v>
      </c>
      <c r="C449" t="s">
        <v>19</v>
      </c>
      <c r="D449" t="s">
        <v>10</v>
      </c>
      <c r="E449" s="1">
        <v>46043</v>
      </c>
      <c r="F449" s="1">
        <v>46042</v>
      </c>
      <c r="G449">
        <v>1642</v>
      </c>
      <c r="H449">
        <v>267.08</v>
      </c>
    </row>
    <row r="450" spans="1:8" customFormat="1" x14ac:dyDescent="0.35">
      <c r="A450" t="s">
        <v>489</v>
      </c>
      <c r="B450" s="1">
        <v>46042</v>
      </c>
      <c r="C450" t="s">
        <v>28</v>
      </c>
      <c r="D450" t="s">
        <v>4</v>
      </c>
      <c r="E450" s="1">
        <v>46043</v>
      </c>
      <c r="F450" s="1">
        <v>46044</v>
      </c>
      <c r="G450">
        <v>1066</v>
      </c>
      <c r="H450">
        <v>201.3</v>
      </c>
    </row>
    <row r="451" spans="1:8" customFormat="1" x14ac:dyDescent="0.35">
      <c r="A451" t="s">
        <v>490</v>
      </c>
      <c r="B451" s="1">
        <v>46043</v>
      </c>
      <c r="C451" t="s">
        <v>31</v>
      </c>
      <c r="D451" t="s">
        <v>8</v>
      </c>
      <c r="E451" s="1">
        <v>46044</v>
      </c>
      <c r="F451" s="1">
        <v>46044</v>
      </c>
      <c r="G451">
        <v>2058</v>
      </c>
      <c r="H451">
        <v>325.7</v>
      </c>
    </row>
    <row r="452" spans="1:8" customFormat="1" x14ac:dyDescent="0.35">
      <c r="A452" t="s">
        <v>491</v>
      </c>
      <c r="B452" s="1">
        <v>46043</v>
      </c>
      <c r="C452" t="s">
        <v>28</v>
      </c>
      <c r="D452" t="s">
        <v>6</v>
      </c>
      <c r="E452" s="1">
        <v>46044</v>
      </c>
      <c r="F452" s="1">
        <v>46044</v>
      </c>
      <c r="G452">
        <v>590</v>
      </c>
      <c r="H452">
        <v>114.16</v>
      </c>
    </row>
    <row r="453" spans="1:8" customFormat="1" x14ac:dyDescent="0.35">
      <c r="A453" t="s">
        <v>492</v>
      </c>
      <c r="B453" s="1">
        <v>46044</v>
      </c>
      <c r="C453" t="s">
        <v>22</v>
      </c>
      <c r="D453" t="s">
        <v>4</v>
      </c>
      <c r="E453" s="1">
        <v>46046</v>
      </c>
      <c r="F453" s="1">
        <v>46046</v>
      </c>
      <c r="G453">
        <v>277</v>
      </c>
      <c r="H453">
        <v>74.06</v>
      </c>
    </row>
    <row r="454" spans="1:8" customFormat="1" x14ac:dyDescent="0.35">
      <c r="A454" t="s">
        <v>493</v>
      </c>
      <c r="B454" s="1">
        <v>46044</v>
      </c>
      <c r="C454" t="s">
        <v>33</v>
      </c>
      <c r="D454" t="s">
        <v>6</v>
      </c>
      <c r="E454" s="1">
        <v>46046</v>
      </c>
      <c r="F454" s="1">
        <v>46047</v>
      </c>
      <c r="G454">
        <v>590</v>
      </c>
      <c r="H454">
        <v>121.87</v>
      </c>
    </row>
    <row r="455" spans="1:8" customFormat="1" x14ac:dyDescent="0.35">
      <c r="A455" t="s">
        <v>494</v>
      </c>
      <c r="B455" s="1">
        <v>46044</v>
      </c>
      <c r="C455" t="s">
        <v>22</v>
      </c>
      <c r="D455" t="s">
        <v>12</v>
      </c>
      <c r="E455" s="1">
        <v>46046</v>
      </c>
      <c r="F455" s="1">
        <v>46046</v>
      </c>
      <c r="G455">
        <v>1411</v>
      </c>
      <c r="H455">
        <v>243.72</v>
      </c>
    </row>
    <row r="456" spans="1:8" customFormat="1" x14ac:dyDescent="0.35">
      <c r="A456" t="s">
        <v>495</v>
      </c>
      <c r="B456" s="1">
        <v>46045</v>
      </c>
      <c r="C456" t="s">
        <v>22</v>
      </c>
      <c r="D456" t="s">
        <v>8</v>
      </c>
      <c r="E456" s="1">
        <v>46047</v>
      </c>
      <c r="F456" s="1">
        <v>46047</v>
      </c>
      <c r="G456">
        <v>218</v>
      </c>
      <c r="H456">
        <v>50.48</v>
      </c>
    </row>
    <row r="457" spans="1:8" customFormat="1" x14ac:dyDescent="0.35">
      <c r="A457" t="s">
        <v>496</v>
      </c>
      <c r="B457" s="1">
        <v>46045</v>
      </c>
      <c r="C457" t="s">
        <v>33</v>
      </c>
      <c r="D457" t="s">
        <v>4</v>
      </c>
      <c r="E457" s="1">
        <v>46046</v>
      </c>
      <c r="F457" s="1">
        <v>46046</v>
      </c>
      <c r="G457">
        <v>2123</v>
      </c>
      <c r="H457">
        <v>347.57</v>
      </c>
    </row>
    <row r="458" spans="1:8" customFormat="1" x14ac:dyDescent="0.35">
      <c r="A458" t="s">
        <v>497</v>
      </c>
      <c r="B458" s="1">
        <v>46045</v>
      </c>
      <c r="C458" t="s">
        <v>33</v>
      </c>
      <c r="D458" t="s">
        <v>6</v>
      </c>
      <c r="E458" s="1">
        <v>46047</v>
      </c>
      <c r="F458" s="1">
        <v>46047</v>
      </c>
      <c r="G458">
        <v>2087</v>
      </c>
      <c r="H458">
        <v>339.3</v>
      </c>
    </row>
    <row r="459" spans="1:8" customFormat="1" x14ac:dyDescent="0.35">
      <c r="A459" t="s">
        <v>498</v>
      </c>
      <c r="B459" s="1">
        <v>46045</v>
      </c>
      <c r="C459" t="s">
        <v>28</v>
      </c>
      <c r="D459" t="s">
        <v>12</v>
      </c>
      <c r="E459" s="1">
        <v>46047</v>
      </c>
      <c r="F459" s="1">
        <v>46050</v>
      </c>
      <c r="G459">
        <v>748</v>
      </c>
      <c r="H459">
        <v>147.78</v>
      </c>
    </row>
    <row r="460" spans="1:8" customFormat="1" x14ac:dyDescent="0.35">
      <c r="A460" t="s">
        <v>499</v>
      </c>
      <c r="B460" s="1">
        <v>46045</v>
      </c>
      <c r="C460" t="s">
        <v>25</v>
      </c>
      <c r="D460" t="s">
        <v>10</v>
      </c>
      <c r="E460" s="1">
        <v>46046</v>
      </c>
      <c r="F460" s="1">
        <v>46048</v>
      </c>
      <c r="G460">
        <v>2108</v>
      </c>
      <c r="H460">
        <v>333.93</v>
      </c>
    </row>
    <row r="461" spans="1:8" customFormat="1" x14ac:dyDescent="0.35">
      <c r="A461" t="s">
        <v>500</v>
      </c>
      <c r="B461" s="1">
        <v>46045</v>
      </c>
      <c r="C461" t="s">
        <v>28</v>
      </c>
      <c r="D461" t="s">
        <v>12</v>
      </c>
      <c r="E461" s="1">
        <v>46046</v>
      </c>
      <c r="F461" s="1">
        <v>46046</v>
      </c>
      <c r="G461">
        <v>454</v>
      </c>
      <c r="H461">
        <v>92.25</v>
      </c>
    </row>
    <row r="462" spans="1:8" customFormat="1" x14ac:dyDescent="0.35">
      <c r="A462" t="s">
        <v>501</v>
      </c>
      <c r="B462" s="1">
        <v>46045</v>
      </c>
      <c r="C462" t="s">
        <v>22</v>
      </c>
      <c r="D462" t="s">
        <v>8</v>
      </c>
      <c r="E462" s="1">
        <v>46046</v>
      </c>
      <c r="F462" s="1">
        <v>46045</v>
      </c>
      <c r="G462">
        <v>537</v>
      </c>
      <c r="H462">
        <v>109.8</v>
      </c>
    </row>
    <row r="463" spans="1:8" customFormat="1" x14ac:dyDescent="0.35">
      <c r="A463" t="s">
        <v>502</v>
      </c>
      <c r="B463" s="1">
        <v>46046</v>
      </c>
      <c r="C463" t="s">
        <v>25</v>
      </c>
      <c r="D463" t="s">
        <v>6</v>
      </c>
      <c r="E463" s="1">
        <v>46047</v>
      </c>
      <c r="F463" s="1">
        <v>46047</v>
      </c>
      <c r="G463">
        <v>694</v>
      </c>
      <c r="H463">
        <v>126.83</v>
      </c>
    </row>
    <row r="464" spans="1:8" customFormat="1" x14ac:dyDescent="0.35">
      <c r="A464" t="s">
        <v>503</v>
      </c>
      <c r="B464" s="1">
        <v>46046</v>
      </c>
      <c r="C464" t="s">
        <v>28</v>
      </c>
      <c r="D464" t="s">
        <v>10</v>
      </c>
      <c r="E464" s="1">
        <v>46047</v>
      </c>
      <c r="F464" s="1">
        <v>46046</v>
      </c>
      <c r="G464">
        <v>688</v>
      </c>
      <c r="H464">
        <v>119.9</v>
      </c>
    </row>
    <row r="465" spans="1:8" customFormat="1" x14ac:dyDescent="0.35">
      <c r="A465" t="s">
        <v>504</v>
      </c>
      <c r="B465" s="1">
        <v>46046</v>
      </c>
      <c r="C465" t="s">
        <v>28</v>
      </c>
      <c r="D465" t="s">
        <v>10</v>
      </c>
      <c r="E465" s="1">
        <v>46047</v>
      </c>
      <c r="F465" s="1">
        <v>46047</v>
      </c>
      <c r="G465">
        <v>2192</v>
      </c>
      <c r="H465">
        <v>355.54</v>
      </c>
    </row>
    <row r="466" spans="1:8" customFormat="1" x14ac:dyDescent="0.35">
      <c r="A466" t="s">
        <v>505</v>
      </c>
      <c r="B466" s="1">
        <v>46047</v>
      </c>
      <c r="C466" t="s">
        <v>19</v>
      </c>
      <c r="D466" t="s">
        <v>4</v>
      </c>
      <c r="E466" s="1">
        <v>46049</v>
      </c>
      <c r="F466" s="1">
        <v>46048</v>
      </c>
      <c r="G466">
        <v>2488</v>
      </c>
      <c r="H466">
        <v>411.24</v>
      </c>
    </row>
    <row r="467" spans="1:8" customFormat="1" x14ac:dyDescent="0.35">
      <c r="A467" t="s">
        <v>506</v>
      </c>
      <c r="B467" s="1">
        <v>46048</v>
      </c>
      <c r="C467" t="s">
        <v>19</v>
      </c>
      <c r="D467" t="s">
        <v>6</v>
      </c>
      <c r="E467" s="1">
        <v>46050</v>
      </c>
      <c r="F467" s="1">
        <v>46050</v>
      </c>
      <c r="G467">
        <v>2235</v>
      </c>
      <c r="H467">
        <v>367.55</v>
      </c>
    </row>
    <row r="468" spans="1:8" customFormat="1" x14ac:dyDescent="0.35">
      <c r="A468" t="s">
        <v>507</v>
      </c>
      <c r="B468" s="1">
        <v>46048</v>
      </c>
      <c r="C468" t="s">
        <v>25</v>
      </c>
      <c r="D468" t="s">
        <v>6</v>
      </c>
      <c r="E468" s="1">
        <v>46049</v>
      </c>
      <c r="F468" s="1">
        <v>46050</v>
      </c>
      <c r="G468">
        <v>720</v>
      </c>
      <c r="H468">
        <v>138.79</v>
      </c>
    </row>
    <row r="469" spans="1:8" customFormat="1" x14ac:dyDescent="0.35">
      <c r="A469" t="s">
        <v>508</v>
      </c>
      <c r="B469" s="1">
        <v>46048</v>
      </c>
      <c r="C469" t="s">
        <v>25</v>
      </c>
      <c r="D469" t="s">
        <v>8</v>
      </c>
      <c r="E469" s="1">
        <v>46049</v>
      </c>
      <c r="F469" s="1">
        <v>46048</v>
      </c>
      <c r="G469">
        <v>1664</v>
      </c>
      <c r="H469">
        <v>274.62</v>
      </c>
    </row>
    <row r="470" spans="1:8" customFormat="1" x14ac:dyDescent="0.35">
      <c r="A470" t="s">
        <v>509</v>
      </c>
      <c r="B470" s="1">
        <v>46048</v>
      </c>
      <c r="C470" t="s">
        <v>25</v>
      </c>
      <c r="D470" t="s">
        <v>10</v>
      </c>
      <c r="E470" s="1">
        <v>46050</v>
      </c>
      <c r="F470" s="1">
        <v>46050</v>
      </c>
      <c r="G470">
        <v>2281</v>
      </c>
      <c r="H470">
        <v>357.81</v>
      </c>
    </row>
    <row r="471" spans="1:8" customFormat="1" x14ac:dyDescent="0.35">
      <c r="A471" t="s">
        <v>510</v>
      </c>
      <c r="B471" s="1">
        <v>46049</v>
      </c>
      <c r="C471" t="s">
        <v>19</v>
      </c>
      <c r="D471" t="s">
        <v>6</v>
      </c>
      <c r="E471" s="1">
        <v>46050</v>
      </c>
      <c r="F471" s="1">
        <v>46050</v>
      </c>
      <c r="G471">
        <v>591</v>
      </c>
      <c r="H471">
        <v>121.51</v>
      </c>
    </row>
    <row r="472" spans="1:8" customFormat="1" x14ac:dyDescent="0.35">
      <c r="A472" t="s">
        <v>511</v>
      </c>
      <c r="B472" s="1">
        <v>46049</v>
      </c>
      <c r="C472" t="s">
        <v>22</v>
      </c>
      <c r="D472" t="s">
        <v>8</v>
      </c>
      <c r="E472" s="1">
        <v>46051</v>
      </c>
      <c r="F472" s="1">
        <v>46050</v>
      </c>
      <c r="G472">
        <v>386</v>
      </c>
      <c r="H472">
        <v>75.150000000000006</v>
      </c>
    </row>
    <row r="473" spans="1:8" customFormat="1" x14ac:dyDescent="0.35">
      <c r="A473" t="s">
        <v>512</v>
      </c>
      <c r="B473" s="1">
        <v>46049</v>
      </c>
      <c r="C473" t="s">
        <v>19</v>
      </c>
      <c r="D473" t="s">
        <v>4</v>
      </c>
      <c r="E473" s="1">
        <v>46050</v>
      </c>
      <c r="F473" s="1">
        <v>46050</v>
      </c>
      <c r="G473">
        <v>2384</v>
      </c>
      <c r="H473">
        <v>389.32</v>
      </c>
    </row>
    <row r="474" spans="1:8" customFormat="1" x14ac:dyDescent="0.35">
      <c r="A474" t="s">
        <v>513</v>
      </c>
      <c r="B474" s="1">
        <v>46050</v>
      </c>
      <c r="C474" t="s">
        <v>19</v>
      </c>
      <c r="D474" t="s">
        <v>4</v>
      </c>
      <c r="E474" s="1">
        <v>46052</v>
      </c>
      <c r="F474" s="1">
        <v>46052</v>
      </c>
      <c r="G474">
        <v>1937</v>
      </c>
      <c r="H474">
        <v>321.33999999999997</v>
      </c>
    </row>
    <row r="475" spans="1:8" customFormat="1" x14ac:dyDescent="0.35">
      <c r="A475" t="s">
        <v>514</v>
      </c>
      <c r="B475" s="1">
        <v>46050</v>
      </c>
      <c r="C475" t="s">
        <v>22</v>
      </c>
      <c r="D475" t="s">
        <v>6</v>
      </c>
      <c r="E475" s="1">
        <v>46052</v>
      </c>
      <c r="F475" s="1">
        <v>46052</v>
      </c>
      <c r="G475">
        <v>250</v>
      </c>
      <c r="H475">
        <v>67.11</v>
      </c>
    </row>
    <row r="476" spans="1:8" customFormat="1" x14ac:dyDescent="0.35">
      <c r="A476" t="s">
        <v>515</v>
      </c>
      <c r="B476" s="1">
        <v>46050</v>
      </c>
      <c r="C476" t="s">
        <v>25</v>
      </c>
      <c r="D476" t="s">
        <v>8</v>
      </c>
      <c r="E476" s="1">
        <v>46051</v>
      </c>
      <c r="F476" s="1">
        <v>46052</v>
      </c>
      <c r="G476">
        <v>1510</v>
      </c>
      <c r="H476">
        <v>248.13</v>
      </c>
    </row>
    <row r="477" spans="1:8" customFormat="1" x14ac:dyDescent="0.35">
      <c r="A477" t="s">
        <v>516</v>
      </c>
      <c r="B477" s="1">
        <v>46051</v>
      </c>
      <c r="C477" t="s">
        <v>19</v>
      </c>
      <c r="D477" t="s">
        <v>12</v>
      </c>
      <c r="E477" s="1">
        <v>46053</v>
      </c>
      <c r="F477" s="1">
        <v>46053</v>
      </c>
      <c r="G477">
        <v>2121</v>
      </c>
      <c r="H477">
        <v>351.11</v>
      </c>
    </row>
    <row r="478" spans="1:8" customFormat="1" x14ac:dyDescent="0.35">
      <c r="A478" t="s">
        <v>517</v>
      </c>
      <c r="B478" s="1">
        <v>46052</v>
      </c>
      <c r="C478" t="s">
        <v>31</v>
      </c>
      <c r="D478" t="s">
        <v>10</v>
      </c>
      <c r="E478" s="1">
        <v>46054</v>
      </c>
      <c r="F478" s="1">
        <v>46054</v>
      </c>
      <c r="G478">
        <v>1566</v>
      </c>
      <c r="H478">
        <v>249.44</v>
      </c>
    </row>
    <row r="479" spans="1:8" customFormat="1" x14ac:dyDescent="0.35">
      <c r="A479" t="s">
        <v>518</v>
      </c>
      <c r="B479" s="1">
        <v>46052</v>
      </c>
      <c r="C479" t="s">
        <v>33</v>
      </c>
      <c r="D479" t="s">
        <v>12</v>
      </c>
      <c r="E479" s="1">
        <v>46054</v>
      </c>
      <c r="F479" s="1">
        <v>46053</v>
      </c>
      <c r="G479">
        <v>616</v>
      </c>
      <c r="H479">
        <v>118.15</v>
      </c>
    </row>
    <row r="480" spans="1:8" customFormat="1" x14ac:dyDescent="0.35">
      <c r="A480" t="s">
        <v>519</v>
      </c>
      <c r="B480" s="1">
        <v>46053</v>
      </c>
      <c r="C480" t="s">
        <v>22</v>
      </c>
      <c r="D480" t="s">
        <v>10</v>
      </c>
      <c r="E480" s="1">
        <v>46055</v>
      </c>
      <c r="F480" s="1">
        <v>46055</v>
      </c>
      <c r="G480">
        <v>380</v>
      </c>
      <c r="H480">
        <v>72.61</v>
      </c>
    </row>
    <row r="481" spans="1:8" customFormat="1" x14ac:dyDescent="0.35">
      <c r="A481" t="s">
        <v>520</v>
      </c>
      <c r="B481" s="1">
        <v>46053</v>
      </c>
      <c r="C481" t="s">
        <v>19</v>
      </c>
      <c r="D481" t="s">
        <v>8</v>
      </c>
      <c r="E481" s="1">
        <v>46054</v>
      </c>
      <c r="F481" s="1">
        <v>46054</v>
      </c>
      <c r="G481">
        <v>1624</v>
      </c>
      <c r="H481">
        <v>269.38</v>
      </c>
    </row>
    <row r="482" spans="1:8" customFormat="1" x14ac:dyDescent="0.35">
      <c r="A482" t="s">
        <v>521</v>
      </c>
      <c r="B482" s="1">
        <v>46054</v>
      </c>
      <c r="C482" t="s">
        <v>19</v>
      </c>
      <c r="D482" t="s">
        <v>12</v>
      </c>
      <c r="E482" s="1">
        <v>46055</v>
      </c>
      <c r="F482" s="1">
        <v>46055</v>
      </c>
      <c r="G482">
        <v>1594</v>
      </c>
      <c r="H482">
        <v>277.72000000000003</v>
      </c>
    </row>
    <row r="483" spans="1:8" customFormat="1" x14ac:dyDescent="0.35">
      <c r="A483" t="s">
        <v>522</v>
      </c>
      <c r="B483" s="1">
        <v>46054</v>
      </c>
      <c r="C483" t="s">
        <v>33</v>
      </c>
      <c r="D483" t="s">
        <v>12</v>
      </c>
      <c r="E483" s="1">
        <v>46055</v>
      </c>
      <c r="F483" s="1">
        <v>46056</v>
      </c>
      <c r="G483">
        <v>1464</v>
      </c>
      <c r="H483">
        <v>246</v>
      </c>
    </row>
    <row r="484" spans="1:8" customFormat="1" x14ac:dyDescent="0.35">
      <c r="A484" t="s">
        <v>523</v>
      </c>
      <c r="B484" s="1">
        <v>46054</v>
      </c>
      <c r="C484" t="s">
        <v>22</v>
      </c>
      <c r="D484" t="s">
        <v>8</v>
      </c>
      <c r="E484" s="1">
        <v>46056</v>
      </c>
      <c r="F484" s="1">
        <v>46056</v>
      </c>
      <c r="G484">
        <v>1261</v>
      </c>
      <c r="H484">
        <v>212.85</v>
      </c>
    </row>
    <row r="485" spans="1:8" customFormat="1" x14ac:dyDescent="0.35">
      <c r="A485" t="s">
        <v>524</v>
      </c>
      <c r="B485" s="1">
        <v>46054</v>
      </c>
      <c r="C485" t="s">
        <v>28</v>
      </c>
      <c r="D485" t="s">
        <v>8</v>
      </c>
      <c r="E485" s="1">
        <v>46055</v>
      </c>
      <c r="F485" s="1">
        <v>46055</v>
      </c>
      <c r="G485">
        <v>324</v>
      </c>
      <c r="H485">
        <v>72.709999999999994</v>
      </c>
    </row>
    <row r="486" spans="1:8" customFormat="1" x14ac:dyDescent="0.35">
      <c r="A486" t="s">
        <v>525</v>
      </c>
      <c r="B486" s="1">
        <v>46055</v>
      </c>
      <c r="C486" t="s">
        <v>33</v>
      </c>
      <c r="D486" t="s">
        <v>12</v>
      </c>
      <c r="E486" s="1">
        <v>46057</v>
      </c>
      <c r="F486" s="1">
        <v>46056</v>
      </c>
      <c r="G486">
        <v>104</v>
      </c>
      <c r="H486">
        <v>41.38</v>
      </c>
    </row>
    <row r="487" spans="1:8" customFormat="1" x14ac:dyDescent="0.35">
      <c r="A487" t="s">
        <v>526</v>
      </c>
      <c r="B487" s="1">
        <v>46055</v>
      </c>
      <c r="C487" t="s">
        <v>22</v>
      </c>
      <c r="D487" t="s">
        <v>8</v>
      </c>
      <c r="E487" s="1">
        <v>46057</v>
      </c>
      <c r="F487" s="1">
        <v>46057</v>
      </c>
      <c r="G487">
        <v>416</v>
      </c>
      <c r="H487">
        <v>81.11</v>
      </c>
    </row>
    <row r="488" spans="1:8" customFormat="1" x14ac:dyDescent="0.35">
      <c r="A488" t="s">
        <v>527</v>
      </c>
      <c r="B488" s="1">
        <v>46056</v>
      </c>
      <c r="C488" t="s">
        <v>33</v>
      </c>
      <c r="D488" t="s">
        <v>10</v>
      </c>
      <c r="E488" s="1">
        <v>46057</v>
      </c>
      <c r="F488" s="1">
        <v>46059</v>
      </c>
      <c r="G488">
        <v>18</v>
      </c>
      <c r="H488">
        <v>21.07</v>
      </c>
    </row>
    <row r="489" spans="1:8" customFormat="1" x14ac:dyDescent="0.35">
      <c r="A489" t="s">
        <v>528</v>
      </c>
      <c r="B489" s="1">
        <v>46056</v>
      </c>
      <c r="C489" t="s">
        <v>28</v>
      </c>
      <c r="D489" t="s">
        <v>6</v>
      </c>
      <c r="E489" s="1">
        <v>46057</v>
      </c>
      <c r="F489" s="1">
        <v>46059</v>
      </c>
      <c r="G489">
        <v>1239</v>
      </c>
      <c r="H489">
        <v>220.26</v>
      </c>
    </row>
    <row r="490" spans="1:8" customFormat="1" x14ac:dyDescent="0.35">
      <c r="A490" t="s">
        <v>529</v>
      </c>
      <c r="B490" s="1">
        <v>46056</v>
      </c>
      <c r="C490" t="s">
        <v>25</v>
      </c>
      <c r="D490" t="s">
        <v>6</v>
      </c>
      <c r="E490" s="1">
        <v>46057</v>
      </c>
      <c r="F490" s="1">
        <v>46057</v>
      </c>
      <c r="G490">
        <v>1712</v>
      </c>
      <c r="H490">
        <v>290.08999999999997</v>
      </c>
    </row>
    <row r="491" spans="1:8" customFormat="1" x14ac:dyDescent="0.35">
      <c r="A491" t="s">
        <v>530</v>
      </c>
      <c r="B491" s="1">
        <v>46057</v>
      </c>
      <c r="C491" t="s">
        <v>31</v>
      </c>
      <c r="D491" t="s">
        <v>4</v>
      </c>
      <c r="E491" s="1">
        <v>46059</v>
      </c>
      <c r="F491" s="1">
        <v>46059</v>
      </c>
      <c r="G491">
        <v>429</v>
      </c>
      <c r="H491">
        <v>101.89</v>
      </c>
    </row>
    <row r="492" spans="1:8" customFormat="1" x14ac:dyDescent="0.35">
      <c r="A492" t="s">
        <v>531</v>
      </c>
      <c r="B492" s="1">
        <v>46057</v>
      </c>
      <c r="C492" t="s">
        <v>31</v>
      </c>
      <c r="D492" t="s">
        <v>6</v>
      </c>
      <c r="E492" s="1">
        <v>46058</v>
      </c>
      <c r="F492" s="1">
        <v>46057</v>
      </c>
      <c r="G492">
        <v>2346</v>
      </c>
      <c r="H492">
        <v>379.65</v>
      </c>
    </row>
    <row r="493" spans="1:8" customFormat="1" x14ac:dyDescent="0.35">
      <c r="A493" t="s">
        <v>532</v>
      </c>
      <c r="B493" s="1">
        <v>46058</v>
      </c>
      <c r="C493" t="s">
        <v>25</v>
      </c>
      <c r="D493" t="s">
        <v>4</v>
      </c>
      <c r="E493" s="1">
        <v>46059</v>
      </c>
      <c r="F493" s="1">
        <v>46059</v>
      </c>
      <c r="G493">
        <v>233</v>
      </c>
      <c r="H493">
        <v>71.81</v>
      </c>
    </row>
    <row r="494" spans="1:8" customFormat="1" x14ac:dyDescent="0.35">
      <c r="A494" t="s">
        <v>533</v>
      </c>
      <c r="B494" s="1">
        <v>46058</v>
      </c>
      <c r="C494" t="s">
        <v>31</v>
      </c>
      <c r="D494" t="s">
        <v>6</v>
      </c>
      <c r="E494" s="1">
        <v>46060</v>
      </c>
      <c r="F494" s="1">
        <v>46059</v>
      </c>
      <c r="G494">
        <v>2112</v>
      </c>
      <c r="H494">
        <v>343.68</v>
      </c>
    </row>
    <row r="495" spans="1:8" customFormat="1" x14ac:dyDescent="0.35">
      <c r="A495" t="s">
        <v>534</v>
      </c>
      <c r="B495" s="1">
        <v>46059</v>
      </c>
      <c r="C495" t="s">
        <v>31</v>
      </c>
      <c r="D495" t="s">
        <v>12</v>
      </c>
      <c r="E495" s="1">
        <v>46060</v>
      </c>
      <c r="F495" s="1">
        <v>46059</v>
      </c>
      <c r="G495">
        <v>1503</v>
      </c>
      <c r="H495">
        <v>262.83</v>
      </c>
    </row>
    <row r="496" spans="1:8" customFormat="1" x14ac:dyDescent="0.35">
      <c r="A496" t="s">
        <v>535</v>
      </c>
      <c r="B496" s="1">
        <v>46059</v>
      </c>
      <c r="C496" t="s">
        <v>28</v>
      </c>
      <c r="D496" t="s">
        <v>8</v>
      </c>
      <c r="E496" s="1">
        <v>46060</v>
      </c>
      <c r="F496" s="1">
        <v>46059</v>
      </c>
      <c r="G496">
        <v>1914</v>
      </c>
      <c r="H496">
        <v>307.45</v>
      </c>
    </row>
    <row r="497" spans="1:8" customFormat="1" x14ac:dyDescent="0.35">
      <c r="A497" t="s">
        <v>536</v>
      </c>
      <c r="B497" s="1">
        <v>46059</v>
      </c>
      <c r="C497" t="s">
        <v>22</v>
      </c>
      <c r="D497" t="s">
        <v>4</v>
      </c>
      <c r="E497" s="1">
        <v>46060</v>
      </c>
      <c r="F497" s="1">
        <v>46060</v>
      </c>
      <c r="G497">
        <v>1599</v>
      </c>
      <c r="H497">
        <v>273.39999999999998</v>
      </c>
    </row>
    <row r="498" spans="1:8" customFormat="1" x14ac:dyDescent="0.35">
      <c r="A498" t="s">
        <v>537</v>
      </c>
      <c r="B498" s="1">
        <v>46059</v>
      </c>
      <c r="C498" t="s">
        <v>22</v>
      </c>
      <c r="D498" t="s">
        <v>8</v>
      </c>
      <c r="E498" s="1">
        <v>46060</v>
      </c>
      <c r="F498" s="1">
        <v>46060</v>
      </c>
      <c r="G498">
        <v>145</v>
      </c>
      <c r="H498">
        <v>43.29</v>
      </c>
    </row>
    <row r="499" spans="1:8" customFormat="1" x14ac:dyDescent="0.35">
      <c r="A499" t="s">
        <v>538</v>
      </c>
      <c r="B499" s="1">
        <v>46059</v>
      </c>
      <c r="C499" t="s">
        <v>31</v>
      </c>
      <c r="D499" t="s">
        <v>6</v>
      </c>
      <c r="E499" s="1">
        <v>46061</v>
      </c>
      <c r="F499" s="1">
        <v>46061</v>
      </c>
      <c r="G499">
        <v>556</v>
      </c>
      <c r="H499">
        <v>106.65</v>
      </c>
    </row>
    <row r="500" spans="1:8" customFormat="1" x14ac:dyDescent="0.35">
      <c r="A500" t="s">
        <v>539</v>
      </c>
      <c r="B500" s="1">
        <v>46060</v>
      </c>
      <c r="C500" t="s">
        <v>22</v>
      </c>
      <c r="D500" t="s">
        <v>12</v>
      </c>
      <c r="E500" s="1">
        <v>46061</v>
      </c>
      <c r="F500" s="1">
        <v>46061</v>
      </c>
      <c r="G500">
        <v>1360</v>
      </c>
      <c r="H500">
        <v>237.95</v>
      </c>
    </row>
    <row r="501" spans="1:8" customFormat="1" x14ac:dyDescent="0.35">
      <c r="A501" t="s">
        <v>540</v>
      </c>
      <c r="B501" s="1">
        <v>46060</v>
      </c>
      <c r="C501" t="s">
        <v>28</v>
      </c>
      <c r="D501" t="s">
        <v>4</v>
      </c>
      <c r="E501" s="1">
        <v>46061</v>
      </c>
      <c r="F501" s="1">
        <v>46061</v>
      </c>
      <c r="G501">
        <v>1625</v>
      </c>
      <c r="H501">
        <v>271.37</v>
      </c>
    </row>
    <row r="502" spans="1:8" customFormat="1" x14ac:dyDescent="0.35">
      <c r="A502" t="s">
        <v>541</v>
      </c>
      <c r="B502" s="1">
        <v>46060</v>
      </c>
      <c r="C502" t="s">
        <v>31</v>
      </c>
      <c r="D502" t="s">
        <v>8</v>
      </c>
      <c r="E502" s="1">
        <v>46062</v>
      </c>
      <c r="F502" s="1">
        <v>46062</v>
      </c>
      <c r="G502">
        <v>2363</v>
      </c>
      <c r="H502">
        <v>383.88</v>
      </c>
    </row>
    <row r="503" spans="1:8" customFormat="1" x14ac:dyDescent="0.35">
      <c r="A503" t="s">
        <v>542</v>
      </c>
      <c r="B503" s="1">
        <v>46060</v>
      </c>
      <c r="C503" t="s">
        <v>19</v>
      </c>
      <c r="D503" t="s">
        <v>8</v>
      </c>
      <c r="E503" s="1">
        <v>46062</v>
      </c>
      <c r="F503" s="1">
        <v>46062</v>
      </c>
      <c r="G503">
        <v>2307</v>
      </c>
      <c r="H503">
        <v>363.76</v>
      </c>
    </row>
    <row r="504" spans="1:8" customFormat="1" x14ac:dyDescent="0.35">
      <c r="A504" t="s">
        <v>543</v>
      </c>
      <c r="B504" s="1">
        <v>46061</v>
      </c>
      <c r="C504" t="s">
        <v>19</v>
      </c>
      <c r="D504" t="s">
        <v>8</v>
      </c>
      <c r="E504" s="1">
        <v>46062</v>
      </c>
      <c r="F504" s="1">
        <v>46063</v>
      </c>
      <c r="G504">
        <v>1029</v>
      </c>
      <c r="H504">
        <v>174.14</v>
      </c>
    </row>
    <row r="505" spans="1:8" customFormat="1" x14ac:dyDescent="0.35">
      <c r="A505" t="s">
        <v>544</v>
      </c>
      <c r="B505" s="1">
        <v>46063</v>
      </c>
      <c r="C505" t="s">
        <v>19</v>
      </c>
      <c r="D505" t="s">
        <v>12</v>
      </c>
      <c r="E505" s="1">
        <v>46065</v>
      </c>
      <c r="F505" s="1">
        <v>46065</v>
      </c>
      <c r="G505">
        <v>1491</v>
      </c>
      <c r="H505">
        <v>256.20999999999998</v>
      </c>
    </row>
    <row r="506" spans="1:8" customFormat="1" x14ac:dyDescent="0.35">
      <c r="A506" t="s">
        <v>545</v>
      </c>
      <c r="B506" s="1">
        <v>46063</v>
      </c>
      <c r="C506" t="s">
        <v>31</v>
      </c>
      <c r="D506" t="s">
        <v>6</v>
      </c>
      <c r="E506" s="1">
        <v>46064</v>
      </c>
      <c r="F506" s="1">
        <v>46064</v>
      </c>
      <c r="G506">
        <v>1489</v>
      </c>
      <c r="H506">
        <v>251.91</v>
      </c>
    </row>
    <row r="507" spans="1:8" customFormat="1" x14ac:dyDescent="0.35">
      <c r="A507" t="s">
        <v>546</v>
      </c>
      <c r="B507" s="1">
        <v>46064</v>
      </c>
      <c r="C507" t="s">
        <v>19</v>
      </c>
      <c r="D507" t="s">
        <v>8</v>
      </c>
      <c r="E507" s="1">
        <v>46066</v>
      </c>
      <c r="F507" s="1">
        <v>46066</v>
      </c>
      <c r="G507">
        <v>1891</v>
      </c>
      <c r="H507">
        <v>308.08999999999997</v>
      </c>
    </row>
    <row r="508" spans="1:8" customFormat="1" x14ac:dyDescent="0.35">
      <c r="A508" t="s">
        <v>547</v>
      </c>
      <c r="B508" s="1">
        <v>46064</v>
      </c>
      <c r="C508" t="s">
        <v>25</v>
      </c>
      <c r="D508" t="s">
        <v>10</v>
      </c>
      <c r="E508" s="1">
        <v>46066</v>
      </c>
      <c r="F508" s="1">
        <v>46067</v>
      </c>
      <c r="G508">
        <v>1103</v>
      </c>
      <c r="H508">
        <v>189.23</v>
      </c>
    </row>
    <row r="509" spans="1:8" customFormat="1" x14ac:dyDescent="0.35">
      <c r="A509" t="s">
        <v>548</v>
      </c>
      <c r="B509" s="1">
        <v>46064</v>
      </c>
      <c r="C509" t="s">
        <v>28</v>
      </c>
      <c r="D509" t="s">
        <v>10</v>
      </c>
      <c r="E509" s="1">
        <v>46066</v>
      </c>
      <c r="F509" s="1">
        <v>46066</v>
      </c>
      <c r="G509">
        <v>1260</v>
      </c>
      <c r="H509">
        <v>210.78</v>
      </c>
    </row>
    <row r="510" spans="1:8" customFormat="1" x14ac:dyDescent="0.35">
      <c r="A510" t="s">
        <v>549</v>
      </c>
      <c r="B510" s="1">
        <v>46064</v>
      </c>
      <c r="C510" t="s">
        <v>31</v>
      </c>
      <c r="D510" t="s">
        <v>6</v>
      </c>
      <c r="E510" s="1">
        <v>46066</v>
      </c>
      <c r="F510" s="1">
        <v>46069</v>
      </c>
      <c r="G510">
        <v>183</v>
      </c>
      <c r="H510">
        <v>55.74</v>
      </c>
    </row>
    <row r="511" spans="1:8" customFormat="1" x14ac:dyDescent="0.35">
      <c r="A511" t="s">
        <v>550</v>
      </c>
      <c r="B511" s="1">
        <v>46064</v>
      </c>
      <c r="C511" t="s">
        <v>25</v>
      </c>
      <c r="D511" t="s">
        <v>10</v>
      </c>
      <c r="E511" s="1">
        <v>46066</v>
      </c>
      <c r="F511" s="1">
        <v>46066</v>
      </c>
      <c r="G511">
        <v>2444</v>
      </c>
      <c r="H511">
        <v>381.89</v>
      </c>
    </row>
    <row r="512" spans="1:8" customFormat="1" x14ac:dyDescent="0.35">
      <c r="A512" t="s">
        <v>551</v>
      </c>
      <c r="B512" s="1">
        <v>46064</v>
      </c>
      <c r="C512" t="s">
        <v>33</v>
      </c>
      <c r="D512" t="s">
        <v>8</v>
      </c>
      <c r="E512" s="1">
        <v>46066</v>
      </c>
      <c r="F512" s="1">
        <v>46066</v>
      </c>
      <c r="G512">
        <v>2442</v>
      </c>
      <c r="H512">
        <v>390.74</v>
      </c>
    </row>
    <row r="513" spans="1:8" customFormat="1" x14ac:dyDescent="0.35">
      <c r="A513" t="s">
        <v>552</v>
      </c>
      <c r="B513" s="1">
        <v>46064</v>
      </c>
      <c r="C513" t="s">
        <v>19</v>
      </c>
      <c r="D513" t="s">
        <v>6</v>
      </c>
      <c r="E513" s="1">
        <v>46066</v>
      </c>
      <c r="F513" s="1">
        <v>46066</v>
      </c>
      <c r="G513">
        <v>624</v>
      </c>
      <c r="H513">
        <v>117.78</v>
      </c>
    </row>
    <row r="514" spans="1:8" customFormat="1" x14ac:dyDescent="0.35">
      <c r="A514" t="s">
        <v>553</v>
      </c>
      <c r="B514" s="1">
        <v>46064</v>
      </c>
      <c r="C514" t="s">
        <v>25</v>
      </c>
      <c r="D514" t="s">
        <v>10</v>
      </c>
      <c r="E514" s="1">
        <v>46065</v>
      </c>
      <c r="F514" s="1">
        <v>46068</v>
      </c>
      <c r="G514">
        <v>2388</v>
      </c>
      <c r="H514">
        <v>385</v>
      </c>
    </row>
    <row r="515" spans="1:8" customFormat="1" x14ac:dyDescent="0.35">
      <c r="A515" t="s">
        <v>554</v>
      </c>
      <c r="B515" s="1">
        <v>46065</v>
      </c>
      <c r="C515" t="s">
        <v>31</v>
      </c>
      <c r="D515" t="s">
        <v>8</v>
      </c>
      <c r="E515" s="1">
        <v>46067</v>
      </c>
      <c r="F515" s="1">
        <v>46070</v>
      </c>
      <c r="G515">
        <v>572</v>
      </c>
      <c r="H515">
        <v>117.09</v>
      </c>
    </row>
    <row r="516" spans="1:8" customFormat="1" x14ac:dyDescent="0.35">
      <c r="A516" t="s">
        <v>555</v>
      </c>
      <c r="B516" s="1">
        <v>46066</v>
      </c>
      <c r="C516" t="s">
        <v>25</v>
      </c>
      <c r="D516" t="s">
        <v>10</v>
      </c>
      <c r="E516" s="1">
        <v>46068</v>
      </c>
      <c r="F516" s="1">
        <v>46067</v>
      </c>
      <c r="G516">
        <v>355</v>
      </c>
      <c r="H516">
        <v>70.22</v>
      </c>
    </row>
    <row r="517" spans="1:8" customFormat="1" x14ac:dyDescent="0.35">
      <c r="A517" t="s">
        <v>556</v>
      </c>
      <c r="B517" s="1">
        <v>46067</v>
      </c>
      <c r="C517" t="s">
        <v>25</v>
      </c>
      <c r="D517" t="s">
        <v>6</v>
      </c>
      <c r="E517" s="1">
        <v>46069</v>
      </c>
      <c r="F517" s="1">
        <v>46069</v>
      </c>
      <c r="G517">
        <v>2136</v>
      </c>
      <c r="H517">
        <v>346.15</v>
      </c>
    </row>
    <row r="518" spans="1:8" customFormat="1" x14ac:dyDescent="0.35">
      <c r="A518" t="s">
        <v>557</v>
      </c>
      <c r="B518" s="1">
        <v>46067</v>
      </c>
      <c r="C518" t="s">
        <v>33</v>
      </c>
      <c r="D518" t="s">
        <v>10</v>
      </c>
      <c r="E518" s="1">
        <v>46069</v>
      </c>
      <c r="F518" s="1">
        <v>46069</v>
      </c>
      <c r="G518">
        <v>473</v>
      </c>
      <c r="H518">
        <v>86.19</v>
      </c>
    </row>
    <row r="519" spans="1:8" customFormat="1" x14ac:dyDescent="0.35">
      <c r="A519" t="s">
        <v>558</v>
      </c>
      <c r="B519" s="1">
        <v>46068</v>
      </c>
      <c r="C519" t="s">
        <v>31</v>
      </c>
      <c r="D519" t="s">
        <v>4</v>
      </c>
      <c r="E519" s="1">
        <v>46070</v>
      </c>
      <c r="F519" s="1">
        <v>46070</v>
      </c>
      <c r="G519">
        <v>888</v>
      </c>
      <c r="H519">
        <v>174.65</v>
      </c>
    </row>
    <row r="520" spans="1:8" customFormat="1" x14ac:dyDescent="0.35">
      <c r="A520" t="s">
        <v>559</v>
      </c>
      <c r="B520" s="1">
        <v>46068</v>
      </c>
      <c r="C520" t="s">
        <v>33</v>
      </c>
      <c r="D520" t="s">
        <v>10</v>
      </c>
      <c r="E520" s="1">
        <v>46070</v>
      </c>
      <c r="F520" s="1">
        <v>46071</v>
      </c>
      <c r="G520">
        <v>300</v>
      </c>
      <c r="H520">
        <v>58.45</v>
      </c>
    </row>
    <row r="521" spans="1:8" customFormat="1" x14ac:dyDescent="0.35">
      <c r="A521" t="s">
        <v>560</v>
      </c>
      <c r="B521" s="1">
        <v>46069</v>
      </c>
      <c r="C521" t="s">
        <v>33</v>
      </c>
      <c r="D521" t="s">
        <v>12</v>
      </c>
      <c r="E521" s="1">
        <v>46071</v>
      </c>
      <c r="F521" s="1">
        <v>46071</v>
      </c>
      <c r="G521">
        <v>331</v>
      </c>
      <c r="H521">
        <v>81.06</v>
      </c>
    </row>
    <row r="522" spans="1:8" customFormat="1" x14ac:dyDescent="0.35">
      <c r="A522" t="s">
        <v>561</v>
      </c>
      <c r="B522" s="1">
        <v>46069</v>
      </c>
      <c r="C522" t="s">
        <v>22</v>
      </c>
      <c r="D522" t="s">
        <v>12</v>
      </c>
      <c r="E522" s="1">
        <v>46070</v>
      </c>
      <c r="F522" s="1">
        <v>46070</v>
      </c>
      <c r="G522">
        <v>1298</v>
      </c>
      <c r="H522">
        <v>229.25</v>
      </c>
    </row>
    <row r="523" spans="1:8" customFormat="1" x14ac:dyDescent="0.35">
      <c r="A523" t="s">
        <v>562</v>
      </c>
      <c r="B523" s="1">
        <v>46069</v>
      </c>
      <c r="C523" t="s">
        <v>19</v>
      </c>
      <c r="D523" t="s">
        <v>8</v>
      </c>
      <c r="E523" s="1">
        <v>46071</v>
      </c>
      <c r="F523" s="1">
        <v>46073</v>
      </c>
      <c r="G523">
        <v>786</v>
      </c>
      <c r="H523">
        <v>136.4</v>
      </c>
    </row>
    <row r="524" spans="1:8" customFormat="1" x14ac:dyDescent="0.35">
      <c r="A524" t="s">
        <v>563</v>
      </c>
      <c r="B524" s="1">
        <v>46069</v>
      </c>
      <c r="C524" t="s">
        <v>28</v>
      </c>
      <c r="D524" t="s">
        <v>4</v>
      </c>
      <c r="E524" s="1">
        <v>46071</v>
      </c>
      <c r="F524" s="1">
        <v>46071</v>
      </c>
      <c r="G524">
        <v>2353</v>
      </c>
      <c r="H524">
        <v>386.5</v>
      </c>
    </row>
    <row r="525" spans="1:8" customFormat="1" x14ac:dyDescent="0.35">
      <c r="A525" t="s">
        <v>564</v>
      </c>
      <c r="B525" s="1">
        <v>46070</v>
      </c>
      <c r="C525" t="s">
        <v>31</v>
      </c>
      <c r="D525" t="s">
        <v>4</v>
      </c>
      <c r="E525" s="1">
        <v>46072</v>
      </c>
      <c r="F525" s="1">
        <v>46072</v>
      </c>
      <c r="G525">
        <v>987</v>
      </c>
      <c r="H525">
        <v>175.42</v>
      </c>
    </row>
    <row r="526" spans="1:8" customFormat="1" x14ac:dyDescent="0.35">
      <c r="A526" t="s">
        <v>565</v>
      </c>
      <c r="B526" s="1">
        <v>46070</v>
      </c>
      <c r="C526" t="s">
        <v>19</v>
      </c>
      <c r="D526" t="s">
        <v>12</v>
      </c>
      <c r="E526" s="1">
        <v>46072</v>
      </c>
      <c r="F526" s="1">
        <v>46072</v>
      </c>
      <c r="G526">
        <v>1034</v>
      </c>
      <c r="H526">
        <v>191.26</v>
      </c>
    </row>
    <row r="527" spans="1:8" customFormat="1" x14ac:dyDescent="0.35">
      <c r="A527" t="s">
        <v>566</v>
      </c>
      <c r="B527" s="1">
        <v>46070</v>
      </c>
      <c r="C527" t="s">
        <v>22</v>
      </c>
      <c r="D527" t="s">
        <v>8</v>
      </c>
      <c r="E527" s="1">
        <v>46072</v>
      </c>
      <c r="F527" s="1">
        <v>46071</v>
      </c>
      <c r="G527">
        <v>1956</v>
      </c>
      <c r="H527">
        <v>311.49</v>
      </c>
    </row>
    <row r="528" spans="1:8" customFormat="1" x14ac:dyDescent="0.35">
      <c r="A528" t="s">
        <v>567</v>
      </c>
      <c r="B528" s="1">
        <v>46070</v>
      </c>
      <c r="C528" t="s">
        <v>28</v>
      </c>
      <c r="D528" t="s">
        <v>6</v>
      </c>
      <c r="E528" s="1">
        <v>46071</v>
      </c>
      <c r="F528" s="1">
        <v>46071</v>
      </c>
      <c r="G528">
        <v>746</v>
      </c>
      <c r="H528">
        <v>138.35</v>
      </c>
    </row>
    <row r="529" spans="1:8" customFormat="1" x14ac:dyDescent="0.35">
      <c r="A529" t="s">
        <v>568</v>
      </c>
      <c r="B529" s="1">
        <v>46071</v>
      </c>
      <c r="C529" t="s">
        <v>31</v>
      </c>
      <c r="D529" t="s">
        <v>12</v>
      </c>
      <c r="E529" s="1">
        <v>46072</v>
      </c>
      <c r="F529" s="1">
        <v>46073</v>
      </c>
      <c r="G529">
        <v>1901</v>
      </c>
      <c r="H529">
        <v>311.77999999999997</v>
      </c>
    </row>
    <row r="530" spans="1:8" customFormat="1" x14ac:dyDescent="0.35">
      <c r="A530" t="s">
        <v>569</v>
      </c>
      <c r="B530" s="1">
        <v>46071</v>
      </c>
      <c r="C530" t="s">
        <v>31</v>
      </c>
      <c r="D530" t="s">
        <v>6</v>
      </c>
      <c r="E530" s="1">
        <v>46072</v>
      </c>
      <c r="F530" s="1">
        <v>46072</v>
      </c>
      <c r="G530">
        <v>1232</v>
      </c>
      <c r="H530">
        <v>213.5</v>
      </c>
    </row>
    <row r="531" spans="1:8" customFormat="1" x14ac:dyDescent="0.35">
      <c r="A531" t="s">
        <v>570</v>
      </c>
      <c r="B531" s="1">
        <v>46071</v>
      </c>
      <c r="C531" t="s">
        <v>33</v>
      </c>
      <c r="D531" t="s">
        <v>8</v>
      </c>
      <c r="E531" s="1">
        <v>46073</v>
      </c>
      <c r="F531" s="1">
        <v>46072</v>
      </c>
      <c r="G531">
        <v>840</v>
      </c>
      <c r="H531">
        <v>144.44</v>
      </c>
    </row>
    <row r="532" spans="1:8" customFormat="1" x14ac:dyDescent="0.35">
      <c r="A532" t="s">
        <v>571</v>
      </c>
      <c r="B532" s="1">
        <v>46071</v>
      </c>
      <c r="C532" t="s">
        <v>19</v>
      </c>
      <c r="D532" t="s">
        <v>4</v>
      </c>
      <c r="E532" s="1">
        <v>46073</v>
      </c>
      <c r="F532" s="1">
        <v>46072</v>
      </c>
      <c r="G532">
        <v>2415</v>
      </c>
      <c r="H532">
        <v>399.61</v>
      </c>
    </row>
    <row r="533" spans="1:8" customFormat="1" x14ac:dyDescent="0.35">
      <c r="A533" t="s">
        <v>572</v>
      </c>
      <c r="B533" s="1">
        <v>46071</v>
      </c>
      <c r="C533" t="s">
        <v>19</v>
      </c>
      <c r="D533" t="s">
        <v>6</v>
      </c>
      <c r="E533" s="1">
        <v>46072</v>
      </c>
      <c r="F533" s="1">
        <v>46072</v>
      </c>
      <c r="G533">
        <v>2139</v>
      </c>
      <c r="H533">
        <v>357.19</v>
      </c>
    </row>
    <row r="534" spans="1:8" customFormat="1" x14ac:dyDescent="0.35">
      <c r="A534" t="s">
        <v>573</v>
      </c>
      <c r="B534" s="1">
        <v>46072</v>
      </c>
      <c r="C534" t="s">
        <v>25</v>
      </c>
      <c r="D534" t="s">
        <v>4</v>
      </c>
      <c r="E534" s="1">
        <v>46073</v>
      </c>
      <c r="F534" s="1">
        <v>46072</v>
      </c>
      <c r="G534">
        <v>1421</v>
      </c>
      <c r="H534">
        <v>250.16</v>
      </c>
    </row>
    <row r="535" spans="1:8" customFormat="1" x14ac:dyDescent="0.35">
      <c r="A535" t="s">
        <v>574</v>
      </c>
      <c r="B535" s="1">
        <v>46072</v>
      </c>
      <c r="C535" t="s">
        <v>28</v>
      </c>
      <c r="D535" t="s">
        <v>4</v>
      </c>
      <c r="E535" s="1">
        <v>46074</v>
      </c>
      <c r="F535" s="1">
        <v>46073</v>
      </c>
      <c r="G535">
        <v>889</v>
      </c>
      <c r="H535">
        <v>173.47</v>
      </c>
    </row>
    <row r="536" spans="1:8" customFormat="1" x14ac:dyDescent="0.35">
      <c r="A536" t="s">
        <v>575</v>
      </c>
      <c r="B536" s="1">
        <v>46072</v>
      </c>
      <c r="C536" t="s">
        <v>19</v>
      </c>
      <c r="D536" t="s">
        <v>4</v>
      </c>
      <c r="E536" s="1">
        <v>46073</v>
      </c>
      <c r="F536" s="1">
        <v>46073</v>
      </c>
      <c r="G536">
        <v>1669</v>
      </c>
      <c r="H536">
        <v>289.88</v>
      </c>
    </row>
    <row r="537" spans="1:8" customFormat="1" x14ac:dyDescent="0.35">
      <c r="A537" t="s">
        <v>576</v>
      </c>
      <c r="B537" s="1">
        <v>46073</v>
      </c>
      <c r="C537" t="s">
        <v>19</v>
      </c>
      <c r="D537" t="s">
        <v>8</v>
      </c>
      <c r="E537" s="1">
        <v>46075</v>
      </c>
      <c r="F537" s="1">
        <v>46074</v>
      </c>
      <c r="G537">
        <v>935</v>
      </c>
      <c r="H537">
        <v>161.15</v>
      </c>
    </row>
    <row r="538" spans="1:8" customFormat="1" x14ac:dyDescent="0.35">
      <c r="A538" t="s">
        <v>577</v>
      </c>
      <c r="B538" s="1">
        <v>46073</v>
      </c>
      <c r="C538" t="s">
        <v>31</v>
      </c>
      <c r="D538" t="s">
        <v>8</v>
      </c>
      <c r="E538" s="1">
        <v>46075</v>
      </c>
      <c r="F538" s="1">
        <v>46075</v>
      </c>
      <c r="G538">
        <v>2207</v>
      </c>
      <c r="H538">
        <v>355.51</v>
      </c>
    </row>
    <row r="539" spans="1:8" customFormat="1" x14ac:dyDescent="0.35">
      <c r="A539" t="s">
        <v>578</v>
      </c>
      <c r="B539" s="1">
        <v>46073</v>
      </c>
      <c r="C539" t="s">
        <v>33</v>
      </c>
      <c r="D539" t="s">
        <v>6</v>
      </c>
      <c r="E539" s="1">
        <v>46075</v>
      </c>
      <c r="F539" s="1">
        <v>46075</v>
      </c>
      <c r="G539">
        <v>1059</v>
      </c>
      <c r="H539">
        <v>181.7</v>
      </c>
    </row>
    <row r="540" spans="1:8" customFormat="1" x14ac:dyDescent="0.35">
      <c r="A540" t="s">
        <v>579</v>
      </c>
      <c r="B540" s="1">
        <v>46074</v>
      </c>
      <c r="C540" t="s">
        <v>28</v>
      </c>
      <c r="D540" t="s">
        <v>4</v>
      </c>
      <c r="E540" s="1">
        <v>46076</v>
      </c>
      <c r="F540" s="1">
        <v>46076</v>
      </c>
      <c r="G540">
        <v>1543</v>
      </c>
      <c r="H540">
        <v>272.25</v>
      </c>
    </row>
    <row r="541" spans="1:8" customFormat="1" x14ac:dyDescent="0.35">
      <c r="A541" t="s">
        <v>580</v>
      </c>
      <c r="B541" s="1">
        <v>46075</v>
      </c>
      <c r="C541" t="s">
        <v>19</v>
      </c>
      <c r="D541" t="s">
        <v>12</v>
      </c>
      <c r="E541" s="1">
        <v>46076</v>
      </c>
      <c r="F541" s="1">
        <v>46075</v>
      </c>
      <c r="G541">
        <v>1592</v>
      </c>
      <c r="H541">
        <v>270.26</v>
      </c>
    </row>
    <row r="542" spans="1:8" customFormat="1" x14ac:dyDescent="0.35">
      <c r="A542" t="s">
        <v>581</v>
      </c>
      <c r="B542" s="1">
        <v>46075</v>
      </c>
      <c r="C542" t="s">
        <v>25</v>
      </c>
      <c r="D542" t="s">
        <v>12</v>
      </c>
      <c r="E542" s="1">
        <v>46076</v>
      </c>
      <c r="F542" s="1">
        <v>46080</v>
      </c>
      <c r="G542">
        <v>31</v>
      </c>
      <c r="H542">
        <v>40.619999999999997</v>
      </c>
    </row>
    <row r="543" spans="1:8" customFormat="1" x14ac:dyDescent="0.35">
      <c r="A543" t="s">
        <v>582</v>
      </c>
      <c r="B543" s="1">
        <v>46075</v>
      </c>
      <c r="C543" t="s">
        <v>25</v>
      </c>
      <c r="D543" t="s">
        <v>10</v>
      </c>
      <c r="E543" s="1">
        <v>46076</v>
      </c>
      <c r="F543" s="1">
        <v>46076</v>
      </c>
      <c r="G543">
        <v>946</v>
      </c>
      <c r="H543">
        <v>167.36</v>
      </c>
    </row>
    <row r="544" spans="1:8" customFormat="1" x14ac:dyDescent="0.35">
      <c r="A544" t="s">
        <v>583</v>
      </c>
      <c r="B544" s="1">
        <v>46075</v>
      </c>
      <c r="C544" t="s">
        <v>31</v>
      </c>
      <c r="D544" t="s">
        <v>10</v>
      </c>
      <c r="E544" s="1">
        <v>46076</v>
      </c>
      <c r="F544" s="1">
        <v>46076</v>
      </c>
      <c r="G544">
        <v>1985</v>
      </c>
      <c r="H544">
        <v>316.76</v>
      </c>
    </row>
    <row r="545" spans="1:8" customFormat="1" x14ac:dyDescent="0.35">
      <c r="A545" t="s">
        <v>584</v>
      </c>
      <c r="B545" s="1">
        <v>46077</v>
      </c>
      <c r="C545" t="s">
        <v>19</v>
      </c>
      <c r="D545" t="s">
        <v>8</v>
      </c>
      <c r="E545" s="1">
        <v>46078</v>
      </c>
      <c r="F545" s="1">
        <v>46078</v>
      </c>
      <c r="G545">
        <v>1492</v>
      </c>
      <c r="H545">
        <v>241.52</v>
      </c>
    </row>
    <row r="546" spans="1:8" customFormat="1" x14ac:dyDescent="0.35">
      <c r="A546" t="s">
        <v>585</v>
      </c>
      <c r="B546" s="1">
        <v>46077</v>
      </c>
      <c r="C546" t="s">
        <v>28</v>
      </c>
      <c r="D546" t="s">
        <v>12</v>
      </c>
      <c r="E546" s="1">
        <v>46078</v>
      </c>
      <c r="F546" s="1">
        <v>46079</v>
      </c>
      <c r="G546">
        <v>582</v>
      </c>
      <c r="H546">
        <v>113.02</v>
      </c>
    </row>
    <row r="547" spans="1:8" customFormat="1" x14ac:dyDescent="0.35">
      <c r="A547" t="s">
        <v>586</v>
      </c>
      <c r="B547" s="1">
        <v>46077</v>
      </c>
      <c r="C547" t="s">
        <v>33</v>
      </c>
      <c r="D547" t="s">
        <v>4</v>
      </c>
      <c r="E547" s="1">
        <v>46079</v>
      </c>
      <c r="F547" s="1">
        <v>46078</v>
      </c>
      <c r="G547">
        <v>1247</v>
      </c>
      <c r="H547">
        <v>221.54</v>
      </c>
    </row>
    <row r="548" spans="1:8" customFormat="1" x14ac:dyDescent="0.35">
      <c r="A548" t="s">
        <v>587</v>
      </c>
      <c r="B548" s="1">
        <v>46078</v>
      </c>
      <c r="C548" t="s">
        <v>31</v>
      </c>
      <c r="D548" t="s">
        <v>6</v>
      </c>
      <c r="E548" s="1">
        <v>46079</v>
      </c>
      <c r="F548" s="1">
        <v>46079</v>
      </c>
      <c r="G548">
        <v>735</v>
      </c>
      <c r="H548">
        <v>145.22</v>
      </c>
    </row>
    <row r="549" spans="1:8" customFormat="1" x14ac:dyDescent="0.35">
      <c r="A549" t="s">
        <v>588</v>
      </c>
      <c r="B549" s="1">
        <v>46078</v>
      </c>
      <c r="C549" t="s">
        <v>25</v>
      </c>
      <c r="D549" t="s">
        <v>12</v>
      </c>
      <c r="E549" s="1">
        <v>46080</v>
      </c>
      <c r="F549" s="1">
        <v>46079</v>
      </c>
      <c r="G549">
        <v>1730</v>
      </c>
      <c r="H549">
        <v>289.24</v>
      </c>
    </row>
    <row r="550" spans="1:8" customFormat="1" x14ac:dyDescent="0.35">
      <c r="A550" t="s">
        <v>589</v>
      </c>
      <c r="B550" s="1">
        <v>46078</v>
      </c>
      <c r="C550" t="s">
        <v>25</v>
      </c>
      <c r="D550" t="s">
        <v>4</v>
      </c>
      <c r="E550" s="1">
        <v>46080</v>
      </c>
      <c r="F550" s="1">
        <v>46080</v>
      </c>
      <c r="G550">
        <v>585</v>
      </c>
      <c r="H550">
        <v>117.79</v>
      </c>
    </row>
    <row r="551" spans="1:8" customFormat="1" x14ac:dyDescent="0.35">
      <c r="A551" t="s">
        <v>590</v>
      </c>
      <c r="B551" s="1">
        <v>46079</v>
      </c>
      <c r="C551" t="s">
        <v>31</v>
      </c>
      <c r="D551" t="s">
        <v>4</v>
      </c>
      <c r="E551" s="1">
        <v>46080</v>
      </c>
      <c r="F551" s="1">
        <v>46080</v>
      </c>
      <c r="G551">
        <v>1853</v>
      </c>
      <c r="H551">
        <v>311.44</v>
      </c>
    </row>
    <row r="552" spans="1:8" customFormat="1" x14ac:dyDescent="0.35">
      <c r="A552" t="s">
        <v>591</v>
      </c>
      <c r="B552" s="1">
        <v>46079</v>
      </c>
      <c r="C552" t="s">
        <v>33</v>
      </c>
      <c r="D552" t="s">
        <v>10</v>
      </c>
      <c r="E552" s="1">
        <v>46081</v>
      </c>
      <c r="F552" s="1">
        <v>46081</v>
      </c>
      <c r="G552">
        <v>695</v>
      </c>
      <c r="H552">
        <v>118.74</v>
      </c>
    </row>
    <row r="553" spans="1:8" customFormat="1" x14ac:dyDescent="0.35">
      <c r="A553" t="s">
        <v>592</v>
      </c>
      <c r="B553" s="1">
        <v>46079</v>
      </c>
      <c r="C553" t="s">
        <v>19</v>
      </c>
      <c r="D553" t="s">
        <v>8</v>
      </c>
      <c r="E553" s="1">
        <v>46080</v>
      </c>
      <c r="F553" s="1">
        <v>46080</v>
      </c>
      <c r="G553">
        <v>1619</v>
      </c>
      <c r="H553">
        <v>262.48</v>
      </c>
    </row>
    <row r="554" spans="1:8" customFormat="1" x14ac:dyDescent="0.35">
      <c r="A554" t="s">
        <v>593</v>
      </c>
      <c r="B554" s="1">
        <v>46080</v>
      </c>
      <c r="C554" t="s">
        <v>25</v>
      </c>
      <c r="D554" t="s">
        <v>10</v>
      </c>
      <c r="E554" s="1">
        <v>46081</v>
      </c>
      <c r="F554" s="1">
        <v>46081</v>
      </c>
      <c r="G554">
        <v>1450</v>
      </c>
      <c r="H554">
        <v>232.3</v>
      </c>
    </row>
    <row r="555" spans="1:8" customFormat="1" x14ac:dyDescent="0.35">
      <c r="A555" t="s">
        <v>594</v>
      </c>
      <c r="B555" s="1">
        <v>46080</v>
      </c>
      <c r="C555" t="s">
        <v>31</v>
      </c>
      <c r="D555" t="s">
        <v>6</v>
      </c>
      <c r="E555" s="1">
        <v>46081</v>
      </c>
      <c r="F555" s="1">
        <v>46081</v>
      </c>
      <c r="G555">
        <v>696</v>
      </c>
      <c r="H555">
        <v>137.01</v>
      </c>
    </row>
    <row r="556" spans="1:8" customFormat="1" x14ac:dyDescent="0.35">
      <c r="A556" t="s">
        <v>595</v>
      </c>
      <c r="B556" s="1">
        <v>46080</v>
      </c>
      <c r="C556" t="s">
        <v>25</v>
      </c>
      <c r="D556" t="s">
        <v>4</v>
      </c>
      <c r="E556" s="1">
        <v>46081</v>
      </c>
      <c r="F556" s="1">
        <v>46080</v>
      </c>
      <c r="G556">
        <v>1185</v>
      </c>
      <c r="H556">
        <v>213.94</v>
      </c>
    </row>
    <row r="557" spans="1:8" customFormat="1" x14ac:dyDescent="0.35">
      <c r="A557" t="s">
        <v>596</v>
      </c>
      <c r="B557" s="1">
        <v>46081</v>
      </c>
      <c r="C557" t="s">
        <v>25</v>
      </c>
      <c r="D557" t="s">
        <v>10</v>
      </c>
      <c r="E557" s="1">
        <v>46082</v>
      </c>
      <c r="F557" s="1">
        <v>46081</v>
      </c>
      <c r="G557">
        <v>2264</v>
      </c>
      <c r="H557">
        <v>367.52</v>
      </c>
    </row>
    <row r="558" spans="1:8" customFormat="1" x14ac:dyDescent="0.35">
      <c r="A558" t="s">
        <v>597</v>
      </c>
      <c r="B558" s="1">
        <v>46081</v>
      </c>
      <c r="C558" t="s">
        <v>28</v>
      </c>
      <c r="D558" t="s">
        <v>4</v>
      </c>
      <c r="E558" s="1">
        <v>46082</v>
      </c>
      <c r="F558" s="1">
        <v>46081</v>
      </c>
      <c r="G558">
        <v>1569</v>
      </c>
      <c r="H558">
        <v>264.39</v>
      </c>
    </row>
    <row r="559" spans="1:8" customFormat="1" x14ac:dyDescent="0.35">
      <c r="A559" t="s">
        <v>598</v>
      </c>
      <c r="B559" s="1">
        <v>46081</v>
      </c>
      <c r="C559" t="s">
        <v>22</v>
      </c>
      <c r="D559" t="s">
        <v>6</v>
      </c>
      <c r="E559" s="1">
        <v>46082</v>
      </c>
      <c r="F559" s="1">
        <v>46086</v>
      </c>
      <c r="G559">
        <v>1809</v>
      </c>
      <c r="H559">
        <v>306.11</v>
      </c>
    </row>
    <row r="560" spans="1:8" customFormat="1" x14ac:dyDescent="0.35">
      <c r="A560" t="s">
        <v>599</v>
      </c>
      <c r="B560" s="1">
        <v>46081</v>
      </c>
      <c r="C560" t="s">
        <v>25</v>
      </c>
      <c r="D560" t="s">
        <v>10</v>
      </c>
      <c r="E560" s="1">
        <v>46082</v>
      </c>
      <c r="F560" s="1">
        <v>46082</v>
      </c>
      <c r="G560">
        <v>837</v>
      </c>
      <c r="H560">
        <v>152.04</v>
      </c>
    </row>
    <row r="561" spans="1:8" customFormat="1" x14ac:dyDescent="0.35">
      <c r="A561" t="s">
        <v>600</v>
      </c>
      <c r="B561" s="1">
        <v>46081</v>
      </c>
      <c r="C561" t="s">
        <v>22</v>
      </c>
      <c r="D561" t="s">
        <v>10</v>
      </c>
      <c r="E561" s="1">
        <v>46082</v>
      </c>
      <c r="F561" s="1">
        <v>46084</v>
      </c>
      <c r="G561">
        <v>232</v>
      </c>
      <c r="H561">
        <v>61.41</v>
      </c>
    </row>
    <row r="562" spans="1:8" customFormat="1" x14ac:dyDescent="0.35">
      <c r="A562" t="s">
        <v>601</v>
      </c>
      <c r="B562" s="1">
        <v>46081</v>
      </c>
      <c r="C562" t="s">
        <v>25</v>
      </c>
      <c r="D562" t="s">
        <v>10</v>
      </c>
      <c r="E562" s="1">
        <v>46082</v>
      </c>
      <c r="F562" s="1">
        <v>46082</v>
      </c>
      <c r="G562">
        <v>2083</v>
      </c>
      <c r="H562">
        <v>326.7</v>
      </c>
    </row>
    <row r="563" spans="1:8" customFormat="1" x14ac:dyDescent="0.35">
      <c r="A563" t="s">
        <v>602</v>
      </c>
      <c r="B563" s="1">
        <v>46082</v>
      </c>
      <c r="C563" t="s">
        <v>25</v>
      </c>
      <c r="D563" t="s">
        <v>4</v>
      </c>
      <c r="E563" s="1">
        <v>46084</v>
      </c>
      <c r="F563" s="1">
        <v>46084</v>
      </c>
      <c r="G563">
        <v>1254</v>
      </c>
      <c r="H563">
        <v>215.77</v>
      </c>
    </row>
    <row r="564" spans="1:8" customFormat="1" x14ac:dyDescent="0.35">
      <c r="A564" t="s">
        <v>603</v>
      </c>
      <c r="B564" s="1">
        <v>46082</v>
      </c>
      <c r="C564" t="s">
        <v>22</v>
      </c>
      <c r="D564" t="s">
        <v>12</v>
      </c>
      <c r="E564" s="1">
        <v>46083</v>
      </c>
      <c r="F564" s="1">
        <v>46084</v>
      </c>
      <c r="G564">
        <v>2161</v>
      </c>
      <c r="H564">
        <v>362.85</v>
      </c>
    </row>
    <row r="565" spans="1:8" customFormat="1" x14ac:dyDescent="0.35">
      <c r="A565" t="s">
        <v>604</v>
      </c>
      <c r="B565" s="1">
        <v>46082</v>
      </c>
      <c r="C565" t="s">
        <v>28</v>
      </c>
      <c r="D565" t="s">
        <v>8</v>
      </c>
      <c r="E565" s="1">
        <v>46083</v>
      </c>
      <c r="F565" s="1">
        <v>46082</v>
      </c>
      <c r="G565">
        <v>84</v>
      </c>
      <c r="H565">
        <v>34.380000000000003</v>
      </c>
    </row>
    <row r="566" spans="1:8" customFormat="1" x14ac:dyDescent="0.35">
      <c r="A566" t="s">
        <v>605</v>
      </c>
      <c r="B566" s="1">
        <v>46082</v>
      </c>
      <c r="C566" t="s">
        <v>25</v>
      </c>
      <c r="D566" t="s">
        <v>6</v>
      </c>
      <c r="E566" s="1">
        <v>46083</v>
      </c>
      <c r="F566" s="1">
        <v>46083</v>
      </c>
      <c r="G566">
        <v>944</v>
      </c>
      <c r="H566">
        <v>165.42</v>
      </c>
    </row>
    <row r="567" spans="1:8" customFormat="1" x14ac:dyDescent="0.35">
      <c r="A567" t="s">
        <v>606</v>
      </c>
      <c r="B567" s="1">
        <v>46084</v>
      </c>
      <c r="C567" t="s">
        <v>31</v>
      </c>
      <c r="D567" t="s">
        <v>12</v>
      </c>
      <c r="E567" s="1">
        <v>46085</v>
      </c>
      <c r="F567" s="1">
        <v>46084</v>
      </c>
      <c r="G567">
        <v>1999</v>
      </c>
      <c r="H567">
        <v>324.19</v>
      </c>
    </row>
    <row r="568" spans="1:8" customFormat="1" x14ac:dyDescent="0.35">
      <c r="A568" t="s">
        <v>607</v>
      </c>
      <c r="B568" s="1">
        <v>46084</v>
      </c>
      <c r="C568" t="s">
        <v>28</v>
      </c>
      <c r="D568" t="s">
        <v>12</v>
      </c>
      <c r="E568" s="1">
        <v>46086</v>
      </c>
      <c r="F568" s="1">
        <v>46085</v>
      </c>
      <c r="G568">
        <v>1419</v>
      </c>
      <c r="H568">
        <v>236.87</v>
      </c>
    </row>
    <row r="569" spans="1:8" customFormat="1" x14ac:dyDescent="0.35">
      <c r="A569" t="s">
        <v>608</v>
      </c>
      <c r="B569" s="1">
        <v>46085</v>
      </c>
      <c r="C569" t="s">
        <v>25</v>
      </c>
      <c r="D569" t="s">
        <v>4</v>
      </c>
      <c r="E569" s="1">
        <v>46087</v>
      </c>
      <c r="F569" s="1">
        <v>46089</v>
      </c>
      <c r="G569">
        <v>1443</v>
      </c>
      <c r="H569">
        <v>246.31</v>
      </c>
    </row>
    <row r="570" spans="1:8" customFormat="1" x14ac:dyDescent="0.35">
      <c r="A570" t="s">
        <v>609</v>
      </c>
      <c r="B570" s="1">
        <v>46085</v>
      </c>
      <c r="C570" t="s">
        <v>28</v>
      </c>
      <c r="D570" t="s">
        <v>4</v>
      </c>
      <c r="E570" s="1">
        <v>46087</v>
      </c>
      <c r="F570" s="1">
        <v>46087</v>
      </c>
      <c r="G570">
        <v>1893</v>
      </c>
      <c r="H570">
        <v>321.06</v>
      </c>
    </row>
    <row r="571" spans="1:8" customFormat="1" x14ac:dyDescent="0.35">
      <c r="A571" t="s">
        <v>610</v>
      </c>
      <c r="B571" s="1">
        <v>46085</v>
      </c>
      <c r="C571" t="s">
        <v>28</v>
      </c>
      <c r="D571" t="s">
        <v>4</v>
      </c>
      <c r="E571" s="1">
        <v>46087</v>
      </c>
      <c r="F571" s="1">
        <v>46086</v>
      </c>
      <c r="G571">
        <v>961</v>
      </c>
      <c r="H571">
        <v>183.17</v>
      </c>
    </row>
    <row r="572" spans="1:8" customFormat="1" x14ac:dyDescent="0.35">
      <c r="A572" t="s">
        <v>611</v>
      </c>
      <c r="B572" s="1">
        <v>46085</v>
      </c>
      <c r="C572" t="s">
        <v>31</v>
      </c>
      <c r="D572" t="s">
        <v>12</v>
      </c>
      <c r="E572" s="1">
        <v>46087</v>
      </c>
      <c r="F572" s="1">
        <v>46086</v>
      </c>
      <c r="G572">
        <v>223</v>
      </c>
      <c r="H572">
        <v>66.97</v>
      </c>
    </row>
    <row r="573" spans="1:8" customFormat="1" x14ac:dyDescent="0.35">
      <c r="A573" t="s">
        <v>612</v>
      </c>
      <c r="B573" s="1">
        <v>46086</v>
      </c>
      <c r="C573" t="s">
        <v>25</v>
      </c>
      <c r="D573" t="s">
        <v>4</v>
      </c>
      <c r="E573" s="1">
        <v>46087</v>
      </c>
      <c r="F573" s="1">
        <v>46086</v>
      </c>
      <c r="G573">
        <v>1082</v>
      </c>
      <c r="H573">
        <v>191.22</v>
      </c>
    </row>
    <row r="574" spans="1:8" customFormat="1" x14ac:dyDescent="0.35">
      <c r="A574" t="s">
        <v>613</v>
      </c>
      <c r="B574" s="1">
        <v>46086</v>
      </c>
      <c r="C574" t="s">
        <v>28</v>
      </c>
      <c r="D574" t="s">
        <v>12</v>
      </c>
      <c r="E574" s="1">
        <v>46087</v>
      </c>
      <c r="F574" s="1">
        <v>46087</v>
      </c>
      <c r="G574">
        <v>725</v>
      </c>
      <c r="H574">
        <v>139.51</v>
      </c>
    </row>
    <row r="575" spans="1:8" customFormat="1" x14ac:dyDescent="0.35">
      <c r="A575" t="s">
        <v>614</v>
      </c>
      <c r="B575" s="1">
        <v>46086</v>
      </c>
      <c r="C575" t="s">
        <v>25</v>
      </c>
      <c r="D575" t="s">
        <v>12</v>
      </c>
      <c r="E575" s="1">
        <v>46087</v>
      </c>
      <c r="F575" s="1">
        <v>46087</v>
      </c>
      <c r="G575">
        <v>1908</v>
      </c>
      <c r="H575">
        <v>322.55</v>
      </c>
    </row>
    <row r="576" spans="1:8" customFormat="1" x14ac:dyDescent="0.35">
      <c r="A576" t="s">
        <v>615</v>
      </c>
      <c r="B576" s="1">
        <v>46086</v>
      </c>
      <c r="C576" t="s">
        <v>31</v>
      </c>
      <c r="D576" t="s">
        <v>12</v>
      </c>
      <c r="E576" s="1">
        <v>46088</v>
      </c>
      <c r="F576" s="1">
        <v>46088</v>
      </c>
      <c r="G576">
        <v>2418</v>
      </c>
      <c r="H576">
        <v>386.93</v>
      </c>
    </row>
    <row r="577" spans="1:8" customFormat="1" x14ac:dyDescent="0.35">
      <c r="A577" t="s">
        <v>616</v>
      </c>
      <c r="B577" s="1">
        <v>46086</v>
      </c>
      <c r="C577" t="s">
        <v>28</v>
      </c>
      <c r="D577" t="s">
        <v>6</v>
      </c>
      <c r="E577" s="1">
        <v>46088</v>
      </c>
      <c r="F577" s="1">
        <v>46088</v>
      </c>
      <c r="G577">
        <v>1496</v>
      </c>
      <c r="H577">
        <v>253.28</v>
      </c>
    </row>
    <row r="578" spans="1:8" customFormat="1" x14ac:dyDescent="0.35">
      <c r="A578" t="s">
        <v>617</v>
      </c>
      <c r="B578" s="1">
        <v>46087</v>
      </c>
      <c r="C578" t="s">
        <v>33</v>
      </c>
      <c r="D578" t="s">
        <v>8</v>
      </c>
      <c r="E578" s="1">
        <v>46089</v>
      </c>
      <c r="F578" s="1">
        <v>46088</v>
      </c>
      <c r="G578">
        <v>1585</v>
      </c>
      <c r="H578">
        <v>266.95</v>
      </c>
    </row>
    <row r="579" spans="1:8" customFormat="1" x14ac:dyDescent="0.35">
      <c r="A579" t="s">
        <v>618</v>
      </c>
      <c r="B579" s="1">
        <v>46087</v>
      </c>
      <c r="C579" t="s">
        <v>19</v>
      </c>
      <c r="D579" t="s">
        <v>6</v>
      </c>
      <c r="E579" s="1">
        <v>46089</v>
      </c>
      <c r="F579" s="1">
        <v>46089</v>
      </c>
      <c r="G579">
        <v>639</v>
      </c>
      <c r="H579">
        <v>117.96</v>
      </c>
    </row>
    <row r="580" spans="1:8" customFormat="1" x14ac:dyDescent="0.35">
      <c r="A580" t="s">
        <v>619</v>
      </c>
      <c r="B580" s="1">
        <v>46087</v>
      </c>
      <c r="C580" t="s">
        <v>31</v>
      </c>
      <c r="D580" t="s">
        <v>4</v>
      </c>
      <c r="E580" s="1">
        <v>46089</v>
      </c>
      <c r="F580" s="1">
        <v>46088</v>
      </c>
      <c r="G580">
        <v>2065</v>
      </c>
      <c r="H580">
        <v>340.29</v>
      </c>
    </row>
    <row r="581" spans="1:8" customFormat="1" x14ac:dyDescent="0.35">
      <c r="A581" t="s">
        <v>620</v>
      </c>
      <c r="B581" s="1">
        <v>46087</v>
      </c>
      <c r="C581" t="s">
        <v>33</v>
      </c>
      <c r="D581" t="s">
        <v>10</v>
      </c>
      <c r="E581" s="1">
        <v>46089</v>
      </c>
      <c r="F581" s="1">
        <v>46089</v>
      </c>
      <c r="G581">
        <v>2441</v>
      </c>
      <c r="H581">
        <v>383.49</v>
      </c>
    </row>
    <row r="582" spans="1:8" customFormat="1" x14ac:dyDescent="0.35">
      <c r="A582" t="s">
        <v>621</v>
      </c>
      <c r="B582" s="1">
        <v>46087</v>
      </c>
      <c r="C582" t="s">
        <v>28</v>
      </c>
      <c r="D582" t="s">
        <v>4</v>
      </c>
      <c r="E582" s="1">
        <v>46089</v>
      </c>
      <c r="F582" s="1">
        <v>46089</v>
      </c>
      <c r="G582">
        <v>1047</v>
      </c>
      <c r="H582">
        <v>188.88</v>
      </c>
    </row>
    <row r="583" spans="1:8" customFormat="1" x14ac:dyDescent="0.35">
      <c r="A583" t="s">
        <v>622</v>
      </c>
      <c r="B583" s="1">
        <v>46088</v>
      </c>
      <c r="C583" t="s">
        <v>33</v>
      </c>
      <c r="D583" t="s">
        <v>4</v>
      </c>
      <c r="E583" s="1">
        <v>46090</v>
      </c>
      <c r="F583" s="1">
        <v>46090</v>
      </c>
      <c r="G583">
        <v>340</v>
      </c>
      <c r="H583">
        <v>82.33</v>
      </c>
    </row>
    <row r="584" spans="1:8" customFormat="1" x14ac:dyDescent="0.35">
      <c r="A584" t="s">
        <v>623</v>
      </c>
      <c r="B584" s="1">
        <v>46088</v>
      </c>
      <c r="C584" t="s">
        <v>28</v>
      </c>
      <c r="D584" t="s">
        <v>6</v>
      </c>
      <c r="E584" s="1">
        <v>46090</v>
      </c>
      <c r="F584" s="1">
        <v>46089</v>
      </c>
      <c r="G584">
        <v>821</v>
      </c>
      <c r="H584">
        <v>155.59</v>
      </c>
    </row>
    <row r="585" spans="1:8" customFormat="1" x14ac:dyDescent="0.35">
      <c r="A585" t="s">
        <v>624</v>
      </c>
      <c r="B585" s="1">
        <v>46089</v>
      </c>
      <c r="C585" t="s">
        <v>28</v>
      </c>
      <c r="D585" t="s">
        <v>4</v>
      </c>
      <c r="E585" s="1">
        <v>46090</v>
      </c>
      <c r="F585" s="1">
        <v>46090</v>
      </c>
      <c r="G585">
        <v>266</v>
      </c>
      <c r="H585">
        <v>75.06</v>
      </c>
    </row>
    <row r="586" spans="1:8" customFormat="1" x14ac:dyDescent="0.35">
      <c r="A586" t="s">
        <v>625</v>
      </c>
      <c r="B586" s="1">
        <v>46089</v>
      </c>
      <c r="C586" t="s">
        <v>22</v>
      </c>
      <c r="D586" t="s">
        <v>10</v>
      </c>
      <c r="E586" s="1">
        <v>46091</v>
      </c>
      <c r="F586" s="1">
        <v>46090</v>
      </c>
      <c r="G586">
        <v>2251</v>
      </c>
      <c r="H586">
        <v>359.57</v>
      </c>
    </row>
    <row r="587" spans="1:8" customFormat="1" x14ac:dyDescent="0.35">
      <c r="A587" t="s">
        <v>626</v>
      </c>
      <c r="B587" s="1">
        <v>46089</v>
      </c>
      <c r="C587" t="s">
        <v>28</v>
      </c>
      <c r="D587" t="s">
        <v>10</v>
      </c>
      <c r="E587" s="1">
        <v>46091</v>
      </c>
      <c r="F587" s="1">
        <v>46091</v>
      </c>
      <c r="G587">
        <v>1491</v>
      </c>
      <c r="H587">
        <v>251.06</v>
      </c>
    </row>
    <row r="588" spans="1:8" customFormat="1" x14ac:dyDescent="0.35">
      <c r="A588" t="s">
        <v>627</v>
      </c>
      <c r="B588" s="1">
        <v>46091</v>
      </c>
      <c r="C588" t="s">
        <v>31</v>
      </c>
      <c r="D588" t="s">
        <v>10</v>
      </c>
      <c r="E588" s="1">
        <v>46092</v>
      </c>
      <c r="F588" s="1">
        <v>46091</v>
      </c>
      <c r="G588">
        <v>535</v>
      </c>
      <c r="H588">
        <v>95.05</v>
      </c>
    </row>
    <row r="589" spans="1:8" customFormat="1" x14ac:dyDescent="0.35">
      <c r="A589" t="s">
        <v>628</v>
      </c>
      <c r="B589" s="1">
        <v>46091</v>
      </c>
      <c r="C589" t="s">
        <v>31</v>
      </c>
      <c r="D589" t="s">
        <v>8</v>
      </c>
      <c r="E589" s="1">
        <v>46093</v>
      </c>
      <c r="F589" s="1">
        <v>46093</v>
      </c>
      <c r="G589">
        <v>1055</v>
      </c>
      <c r="H589">
        <v>184.47</v>
      </c>
    </row>
    <row r="590" spans="1:8" customFormat="1" x14ac:dyDescent="0.35">
      <c r="A590" t="s">
        <v>629</v>
      </c>
      <c r="B590" s="1">
        <v>46092</v>
      </c>
      <c r="C590" t="s">
        <v>22</v>
      </c>
      <c r="D590" t="s">
        <v>12</v>
      </c>
      <c r="E590" s="1">
        <v>46094</v>
      </c>
      <c r="F590" s="1">
        <v>46094</v>
      </c>
      <c r="G590">
        <v>1990</v>
      </c>
      <c r="H590">
        <v>329.37</v>
      </c>
    </row>
    <row r="591" spans="1:8" customFormat="1" x14ac:dyDescent="0.35">
      <c r="A591" t="s">
        <v>630</v>
      </c>
      <c r="B591" s="1">
        <v>46092</v>
      </c>
      <c r="C591" t="s">
        <v>25</v>
      </c>
      <c r="D591" t="s">
        <v>4</v>
      </c>
      <c r="E591" s="1">
        <v>46093</v>
      </c>
      <c r="F591" s="1">
        <v>46093</v>
      </c>
      <c r="G591">
        <v>2111</v>
      </c>
      <c r="H591">
        <v>355.17</v>
      </c>
    </row>
    <row r="592" spans="1:8" customFormat="1" x14ac:dyDescent="0.35">
      <c r="A592" t="s">
        <v>631</v>
      </c>
      <c r="B592" s="1">
        <v>46092</v>
      </c>
      <c r="C592" t="s">
        <v>22</v>
      </c>
      <c r="D592" t="s">
        <v>4</v>
      </c>
      <c r="E592" s="1">
        <v>46093</v>
      </c>
      <c r="F592" s="1">
        <v>46093</v>
      </c>
      <c r="G592">
        <v>1686</v>
      </c>
      <c r="H592">
        <v>289.86</v>
      </c>
    </row>
    <row r="593" spans="1:8" customFormat="1" x14ac:dyDescent="0.35">
      <c r="A593" t="s">
        <v>632</v>
      </c>
      <c r="B593" s="1">
        <v>46092</v>
      </c>
      <c r="C593" t="s">
        <v>33</v>
      </c>
      <c r="D593" t="s">
        <v>8</v>
      </c>
      <c r="E593" s="1">
        <v>46093</v>
      </c>
      <c r="F593" s="1">
        <v>46093</v>
      </c>
      <c r="G593">
        <v>2100</v>
      </c>
      <c r="H593">
        <v>337.46</v>
      </c>
    </row>
    <row r="594" spans="1:8" customFormat="1" x14ac:dyDescent="0.35">
      <c r="A594" t="s">
        <v>633</v>
      </c>
      <c r="B594" s="1">
        <v>46092</v>
      </c>
      <c r="C594" t="s">
        <v>25</v>
      </c>
      <c r="D594" t="s">
        <v>8</v>
      </c>
      <c r="E594" s="1">
        <v>46094</v>
      </c>
      <c r="F594" s="1">
        <v>46096</v>
      </c>
      <c r="G594">
        <v>2211</v>
      </c>
      <c r="H594">
        <v>350.69</v>
      </c>
    </row>
    <row r="595" spans="1:8" customFormat="1" x14ac:dyDescent="0.35">
      <c r="A595" t="s">
        <v>634</v>
      </c>
      <c r="B595" s="1">
        <v>46093</v>
      </c>
      <c r="C595" t="s">
        <v>19</v>
      </c>
      <c r="D595" t="s">
        <v>12</v>
      </c>
      <c r="E595" s="1">
        <v>46094</v>
      </c>
      <c r="F595" s="1">
        <v>46093</v>
      </c>
      <c r="G595">
        <v>1362</v>
      </c>
      <c r="H595">
        <v>237.55</v>
      </c>
    </row>
    <row r="596" spans="1:8" customFormat="1" x14ac:dyDescent="0.35">
      <c r="A596" t="s">
        <v>635</v>
      </c>
      <c r="B596" s="1">
        <v>46093</v>
      </c>
      <c r="C596" t="s">
        <v>19</v>
      </c>
      <c r="D596" t="s">
        <v>6</v>
      </c>
      <c r="E596" s="1">
        <v>46095</v>
      </c>
      <c r="F596" s="1">
        <v>46095</v>
      </c>
      <c r="G596">
        <v>1804</v>
      </c>
      <c r="H596">
        <v>295.83</v>
      </c>
    </row>
    <row r="597" spans="1:8" customFormat="1" x14ac:dyDescent="0.35">
      <c r="A597" t="s">
        <v>636</v>
      </c>
      <c r="B597" s="1">
        <v>46094</v>
      </c>
      <c r="C597" t="s">
        <v>19</v>
      </c>
      <c r="D597" t="s">
        <v>10</v>
      </c>
      <c r="E597" s="1">
        <v>46096</v>
      </c>
      <c r="F597" s="1">
        <v>46096</v>
      </c>
      <c r="G597">
        <v>2059</v>
      </c>
      <c r="H597">
        <v>330.2</v>
      </c>
    </row>
    <row r="598" spans="1:8" customFormat="1" x14ac:dyDescent="0.35">
      <c r="A598" t="s">
        <v>637</v>
      </c>
      <c r="B598" s="1">
        <v>46094</v>
      </c>
      <c r="C598" t="s">
        <v>19</v>
      </c>
      <c r="D598" t="s">
        <v>12</v>
      </c>
      <c r="E598" s="1">
        <v>46095</v>
      </c>
      <c r="F598" s="1">
        <v>46095</v>
      </c>
      <c r="G598">
        <v>2482</v>
      </c>
      <c r="H598">
        <v>399.96</v>
      </c>
    </row>
    <row r="599" spans="1:8" customFormat="1" x14ac:dyDescent="0.35">
      <c r="A599" t="s">
        <v>638</v>
      </c>
      <c r="B599" s="1">
        <v>46094</v>
      </c>
      <c r="C599" t="s">
        <v>28</v>
      </c>
      <c r="D599" t="s">
        <v>10</v>
      </c>
      <c r="E599" s="1">
        <v>46095</v>
      </c>
      <c r="F599" s="1">
        <v>46095</v>
      </c>
      <c r="G599">
        <v>568</v>
      </c>
      <c r="H599">
        <v>109.65</v>
      </c>
    </row>
    <row r="600" spans="1:8" customFormat="1" x14ac:dyDescent="0.35">
      <c r="A600" t="s">
        <v>639</v>
      </c>
      <c r="B600" s="1">
        <v>46094</v>
      </c>
      <c r="C600" t="s">
        <v>33</v>
      </c>
      <c r="D600" t="s">
        <v>6</v>
      </c>
      <c r="E600" s="1">
        <v>46095</v>
      </c>
      <c r="F600" s="1">
        <v>46095</v>
      </c>
      <c r="G600">
        <v>561</v>
      </c>
      <c r="H600">
        <v>109.66</v>
      </c>
    </row>
    <row r="601" spans="1:8" customFormat="1" x14ac:dyDescent="0.35">
      <c r="A601" t="s">
        <v>640</v>
      </c>
      <c r="B601" s="1">
        <v>46095</v>
      </c>
      <c r="C601" t="s">
        <v>25</v>
      </c>
      <c r="D601" t="s">
        <v>10</v>
      </c>
      <c r="E601" s="1">
        <v>46096</v>
      </c>
      <c r="F601" s="1">
        <v>46095</v>
      </c>
      <c r="G601">
        <v>2065</v>
      </c>
      <c r="H601">
        <v>334.62</v>
      </c>
    </row>
    <row r="602" spans="1:8" customFormat="1" x14ac:dyDescent="0.35">
      <c r="A602" t="s">
        <v>641</v>
      </c>
      <c r="B602" s="1">
        <v>46095</v>
      </c>
      <c r="C602" t="s">
        <v>19</v>
      </c>
      <c r="D602" t="s">
        <v>6</v>
      </c>
      <c r="E602" s="1">
        <v>46096</v>
      </c>
      <c r="F602" s="1">
        <v>46095</v>
      </c>
      <c r="G602">
        <v>361</v>
      </c>
      <c r="H602">
        <v>77.59</v>
      </c>
    </row>
    <row r="603" spans="1:8" customFormat="1" x14ac:dyDescent="0.35">
      <c r="A603" t="s">
        <v>642</v>
      </c>
      <c r="B603" s="1">
        <v>46095</v>
      </c>
      <c r="C603" t="s">
        <v>33</v>
      </c>
      <c r="D603" t="s">
        <v>4</v>
      </c>
      <c r="E603" s="1">
        <v>46097</v>
      </c>
      <c r="F603" s="1">
        <v>46098</v>
      </c>
      <c r="G603">
        <v>72</v>
      </c>
      <c r="H603">
        <v>51.67</v>
      </c>
    </row>
    <row r="604" spans="1:8" customFormat="1" x14ac:dyDescent="0.35">
      <c r="A604" t="s">
        <v>643</v>
      </c>
      <c r="B604" s="1">
        <v>46095</v>
      </c>
      <c r="C604" t="s">
        <v>25</v>
      </c>
      <c r="D604" t="s">
        <v>8</v>
      </c>
      <c r="E604" s="1">
        <v>46096</v>
      </c>
      <c r="F604" s="1">
        <v>46096</v>
      </c>
      <c r="G604">
        <v>1308</v>
      </c>
      <c r="H604">
        <v>227.27</v>
      </c>
    </row>
    <row r="605" spans="1:8" customFormat="1" x14ac:dyDescent="0.35">
      <c r="A605" t="s">
        <v>644</v>
      </c>
      <c r="B605" s="1">
        <v>46096</v>
      </c>
      <c r="C605" t="s">
        <v>31</v>
      </c>
      <c r="D605" t="s">
        <v>10</v>
      </c>
      <c r="E605" s="1">
        <v>46097</v>
      </c>
      <c r="F605" s="1">
        <v>46101</v>
      </c>
      <c r="G605">
        <v>620</v>
      </c>
      <c r="H605">
        <v>114.43</v>
      </c>
    </row>
    <row r="606" spans="1:8" customFormat="1" x14ac:dyDescent="0.35">
      <c r="A606" t="s">
        <v>645</v>
      </c>
      <c r="B606" s="1">
        <v>46096</v>
      </c>
      <c r="C606" t="s">
        <v>33</v>
      </c>
      <c r="D606" t="s">
        <v>6</v>
      </c>
      <c r="E606" s="1">
        <v>46098</v>
      </c>
      <c r="F606" s="1">
        <v>46098</v>
      </c>
      <c r="G606">
        <v>705</v>
      </c>
      <c r="H606">
        <v>137.38</v>
      </c>
    </row>
    <row r="607" spans="1:8" customFormat="1" x14ac:dyDescent="0.35">
      <c r="A607" t="s">
        <v>646</v>
      </c>
      <c r="B607" s="1">
        <v>46096</v>
      </c>
      <c r="C607" t="s">
        <v>31</v>
      </c>
      <c r="D607" t="s">
        <v>12</v>
      </c>
      <c r="E607" s="1">
        <v>46098</v>
      </c>
      <c r="F607" s="1">
        <v>46098</v>
      </c>
      <c r="G607">
        <v>661</v>
      </c>
      <c r="H607">
        <v>134.19999999999999</v>
      </c>
    </row>
    <row r="608" spans="1:8" customFormat="1" x14ac:dyDescent="0.35">
      <c r="A608" t="s">
        <v>647</v>
      </c>
      <c r="B608" s="1">
        <v>46096</v>
      </c>
      <c r="C608" t="s">
        <v>19</v>
      </c>
      <c r="D608" t="s">
        <v>12</v>
      </c>
      <c r="E608" s="1">
        <v>46097</v>
      </c>
      <c r="F608" s="1">
        <v>46097</v>
      </c>
      <c r="G608">
        <v>2293</v>
      </c>
      <c r="H608">
        <v>380.15</v>
      </c>
    </row>
    <row r="609" spans="1:8" customFormat="1" x14ac:dyDescent="0.35">
      <c r="A609" t="s">
        <v>648</v>
      </c>
      <c r="B609" s="1">
        <v>46096</v>
      </c>
      <c r="C609" t="s">
        <v>22</v>
      </c>
      <c r="D609" t="s">
        <v>4</v>
      </c>
      <c r="E609" s="1">
        <v>46097</v>
      </c>
      <c r="F609" s="1">
        <v>46098</v>
      </c>
      <c r="G609">
        <v>683</v>
      </c>
      <c r="H609">
        <v>135.46</v>
      </c>
    </row>
    <row r="610" spans="1:8" customFormat="1" x14ac:dyDescent="0.35">
      <c r="A610" t="s">
        <v>649</v>
      </c>
      <c r="B610" s="1">
        <v>46097</v>
      </c>
      <c r="C610" t="s">
        <v>19</v>
      </c>
      <c r="D610" t="s">
        <v>8</v>
      </c>
      <c r="E610" s="1">
        <v>46099</v>
      </c>
      <c r="F610" s="1">
        <v>46099</v>
      </c>
      <c r="G610">
        <v>1199</v>
      </c>
      <c r="H610">
        <v>209.62</v>
      </c>
    </row>
    <row r="611" spans="1:8" customFormat="1" x14ac:dyDescent="0.35">
      <c r="A611" t="s">
        <v>650</v>
      </c>
      <c r="B611" s="1">
        <v>46097</v>
      </c>
      <c r="C611" t="s">
        <v>31</v>
      </c>
      <c r="D611" t="s">
        <v>10</v>
      </c>
      <c r="E611" s="1">
        <v>46098</v>
      </c>
      <c r="F611" s="1">
        <v>46098</v>
      </c>
      <c r="G611">
        <v>496</v>
      </c>
      <c r="H611">
        <v>102.36</v>
      </c>
    </row>
    <row r="612" spans="1:8" customFormat="1" x14ac:dyDescent="0.35">
      <c r="A612" t="s">
        <v>651</v>
      </c>
      <c r="B612" s="1">
        <v>46097</v>
      </c>
      <c r="C612" t="s">
        <v>22</v>
      </c>
      <c r="D612" t="s">
        <v>8</v>
      </c>
      <c r="E612" s="1">
        <v>46099</v>
      </c>
      <c r="F612" s="1">
        <v>46100</v>
      </c>
      <c r="G612">
        <v>2452</v>
      </c>
      <c r="H612">
        <v>395.77</v>
      </c>
    </row>
    <row r="613" spans="1:8" customFormat="1" x14ac:dyDescent="0.35">
      <c r="A613" t="s">
        <v>652</v>
      </c>
      <c r="B613" s="1">
        <v>46097</v>
      </c>
      <c r="C613" t="s">
        <v>33</v>
      </c>
      <c r="D613" t="s">
        <v>10</v>
      </c>
      <c r="E613" s="1">
        <v>46099</v>
      </c>
      <c r="F613" s="1">
        <v>46099</v>
      </c>
      <c r="G613">
        <v>1746</v>
      </c>
      <c r="H613">
        <v>286.08</v>
      </c>
    </row>
    <row r="614" spans="1:8" customFormat="1" x14ac:dyDescent="0.35">
      <c r="A614" t="s">
        <v>653</v>
      </c>
      <c r="B614" s="1">
        <v>46099</v>
      </c>
      <c r="C614" t="s">
        <v>28</v>
      </c>
      <c r="D614" t="s">
        <v>8</v>
      </c>
      <c r="E614" s="1">
        <v>46100</v>
      </c>
      <c r="F614" s="1">
        <v>46102</v>
      </c>
      <c r="G614">
        <v>1459</v>
      </c>
      <c r="H614">
        <v>249.59</v>
      </c>
    </row>
    <row r="615" spans="1:8" customFormat="1" x14ac:dyDescent="0.35">
      <c r="A615" t="s">
        <v>654</v>
      </c>
      <c r="B615" s="1">
        <v>46100</v>
      </c>
      <c r="C615" t="s">
        <v>25</v>
      </c>
      <c r="D615" t="s">
        <v>8</v>
      </c>
      <c r="E615" s="1">
        <v>46102</v>
      </c>
      <c r="F615" s="1">
        <v>46102</v>
      </c>
      <c r="G615">
        <v>2178</v>
      </c>
      <c r="H615">
        <v>348.6</v>
      </c>
    </row>
    <row r="616" spans="1:8" customFormat="1" x14ac:dyDescent="0.35">
      <c r="A616" t="s">
        <v>655</v>
      </c>
      <c r="B616" s="1">
        <v>46100</v>
      </c>
      <c r="C616" t="s">
        <v>28</v>
      </c>
      <c r="D616" t="s">
        <v>12</v>
      </c>
      <c r="E616" s="1">
        <v>46101</v>
      </c>
      <c r="F616" s="1">
        <v>46100</v>
      </c>
      <c r="G616">
        <v>208</v>
      </c>
      <c r="H616">
        <v>63.4</v>
      </c>
    </row>
    <row r="617" spans="1:8" customFormat="1" x14ac:dyDescent="0.35">
      <c r="A617" t="s">
        <v>656</v>
      </c>
      <c r="B617" s="1">
        <v>46100</v>
      </c>
      <c r="C617" t="s">
        <v>25</v>
      </c>
      <c r="D617" t="s">
        <v>12</v>
      </c>
      <c r="E617" s="1">
        <v>46102</v>
      </c>
      <c r="F617" s="1">
        <v>46101</v>
      </c>
      <c r="G617">
        <v>2331</v>
      </c>
      <c r="H617">
        <v>379.02</v>
      </c>
    </row>
    <row r="618" spans="1:8" customFormat="1" x14ac:dyDescent="0.35">
      <c r="A618" t="s">
        <v>657</v>
      </c>
      <c r="B618" s="1">
        <v>46100</v>
      </c>
      <c r="C618" t="s">
        <v>22</v>
      </c>
      <c r="D618" t="s">
        <v>8</v>
      </c>
      <c r="E618" s="1">
        <v>46102</v>
      </c>
      <c r="F618" s="1">
        <v>46103</v>
      </c>
      <c r="G618">
        <v>1334</v>
      </c>
      <c r="H618">
        <v>231.12</v>
      </c>
    </row>
    <row r="619" spans="1:8" customFormat="1" x14ac:dyDescent="0.35">
      <c r="A619" t="s">
        <v>658</v>
      </c>
      <c r="B619" s="1">
        <v>46101</v>
      </c>
      <c r="C619" t="s">
        <v>19</v>
      </c>
      <c r="D619" t="s">
        <v>4</v>
      </c>
      <c r="E619" s="1">
        <v>46103</v>
      </c>
      <c r="F619" s="1">
        <v>46102</v>
      </c>
      <c r="G619">
        <v>379</v>
      </c>
      <c r="H619">
        <v>92.58</v>
      </c>
    </row>
    <row r="620" spans="1:8" customFormat="1" x14ac:dyDescent="0.35">
      <c r="A620" t="s">
        <v>659</v>
      </c>
      <c r="B620" s="1">
        <v>46101</v>
      </c>
      <c r="C620" t="s">
        <v>19</v>
      </c>
      <c r="D620" t="s">
        <v>12</v>
      </c>
      <c r="E620" s="1">
        <v>46102</v>
      </c>
      <c r="F620" s="1">
        <v>46102</v>
      </c>
      <c r="G620">
        <v>983</v>
      </c>
      <c r="H620">
        <v>179.01</v>
      </c>
    </row>
    <row r="621" spans="1:8" customFormat="1" x14ac:dyDescent="0.35">
      <c r="A621" t="s">
        <v>660</v>
      </c>
      <c r="B621" s="1">
        <v>46101</v>
      </c>
      <c r="C621" t="s">
        <v>19</v>
      </c>
      <c r="D621" t="s">
        <v>12</v>
      </c>
      <c r="E621" s="1">
        <v>46102</v>
      </c>
      <c r="F621" s="1">
        <v>46102</v>
      </c>
      <c r="G621">
        <v>2248</v>
      </c>
      <c r="H621">
        <v>363.13</v>
      </c>
    </row>
    <row r="622" spans="1:8" customFormat="1" x14ac:dyDescent="0.35">
      <c r="A622" t="s">
        <v>661</v>
      </c>
      <c r="B622" s="1">
        <v>46101</v>
      </c>
      <c r="C622" t="s">
        <v>31</v>
      </c>
      <c r="D622" t="s">
        <v>8</v>
      </c>
      <c r="E622" s="1">
        <v>46102</v>
      </c>
      <c r="F622" s="1">
        <v>46102</v>
      </c>
      <c r="G622">
        <v>367</v>
      </c>
      <c r="H622">
        <v>72.650000000000006</v>
      </c>
    </row>
    <row r="623" spans="1:8" customFormat="1" x14ac:dyDescent="0.35">
      <c r="A623" t="s">
        <v>662</v>
      </c>
      <c r="B623" s="1">
        <v>46102</v>
      </c>
      <c r="C623" t="s">
        <v>19</v>
      </c>
      <c r="D623" t="s">
        <v>8</v>
      </c>
      <c r="E623" s="1">
        <v>46103</v>
      </c>
      <c r="F623" s="1">
        <v>46102</v>
      </c>
      <c r="G623">
        <v>1232</v>
      </c>
      <c r="H623">
        <v>213.83</v>
      </c>
    </row>
    <row r="624" spans="1:8" customFormat="1" x14ac:dyDescent="0.35">
      <c r="A624" t="s">
        <v>663</v>
      </c>
      <c r="B624" s="1">
        <v>46102</v>
      </c>
      <c r="C624" t="s">
        <v>25</v>
      </c>
      <c r="D624" t="s">
        <v>8</v>
      </c>
      <c r="E624" s="1">
        <v>46104</v>
      </c>
      <c r="F624" s="1">
        <v>46104</v>
      </c>
      <c r="G624">
        <v>453</v>
      </c>
      <c r="H624">
        <v>94.47</v>
      </c>
    </row>
    <row r="625" spans="1:8" customFormat="1" x14ac:dyDescent="0.35">
      <c r="A625" t="s">
        <v>664</v>
      </c>
      <c r="B625" s="1">
        <v>46102</v>
      </c>
      <c r="C625" t="s">
        <v>19</v>
      </c>
      <c r="D625" t="s">
        <v>6</v>
      </c>
      <c r="E625" s="1">
        <v>46103</v>
      </c>
      <c r="F625" s="1">
        <v>46104</v>
      </c>
      <c r="G625">
        <v>525</v>
      </c>
      <c r="H625">
        <v>112.3</v>
      </c>
    </row>
    <row r="626" spans="1:8" customFormat="1" x14ac:dyDescent="0.35">
      <c r="A626" t="s">
        <v>665</v>
      </c>
      <c r="B626" s="1">
        <v>46102</v>
      </c>
      <c r="C626" t="s">
        <v>19</v>
      </c>
      <c r="D626" t="s">
        <v>4</v>
      </c>
      <c r="E626" s="1">
        <v>46104</v>
      </c>
      <c r="F626" s="1">
        <v>46108</v>
      </c>
      <c r="G626">
        <v>1130</v>
      </c>
      <c r="H626">
        <v>208.52</v>
      </c>
    </row>
    <row r="627" spans="1:8" customFormat="1" x14ac:dyDescent="0.35">
      <c r="A627" t="s">
        <v>666</v>
      </c>
      <c r="B627" s="1">
        <v>46103</v>
      </c>
      <c r="C627" t="s">
        <v>19</v>
      </c>
      <c r="D627" t="s">
        <v>8</v>
      </c>
      <c r="E627" s="1">
        <v>46104</v>
      </c>
      <c r="F627" s="1">
        <v>46104</v>
      </c>
      <c r="G627">
        <v>2078</v>
      </c>
      <c r="H627">
        <v>334.05</v>
      </c>
    </row>
    <row r="628" spans="1:8" customFormat="1" x14ac:dyDescent="0.35">
      <c r="A628" t="s">
        <v>667</v>
      </c>
      <c r="B628" s="1">
        <v>46104</v>
      </c>
      <c r="C628" t="s">
        <v>31</v>
      </c>
      <c r="D628" t="s">
        <v>6</v>
      </c>
      <c r="E628" s="1">
        <v>46106</v>
      </c>
      <c r="F628" s="1">
        <v>46106</v>
      </c>
      <c r="G628">
        <v>558</v>
      </c>
      <c r="H628">
        <v>110.15</v>
      </c>
    </row>
    <row r="629" spans="1:8" customFormat="1" x14ac:dyDescent="0.35">
      <c r="A629" t="s">
        <v>668</v>
      </c>
      <c r="B629" s="1">
        <v>46105</v>
      </c>
      <c r="C629" t="s">
        <v>19</v>
      </c>
      <c r="D629" t="s">
        <v>8</v>
      </c>
      <c r="E629" s="1">
        <v>46107</v>
      </c>
      <c r="F629" s="1">
        <v>46107</v>
      </c>
      <c r="G629">
        <v>1720</v>
      </c>
      <c r="H629">
        <v>278.74</v>
      </c>
    </row>
    <row r="630" spans="1:8" customFormat="1" x14ac:dyDescent="0.35">
      <c r="A630" t="s">
        <v>669</v>
      </c>
      <c r="B630" s="1">
        <v>46105</v>
      </c>
      <c r="C630" t="s">
        <v>25</v>
      </c>
      <c r="D630" t="s">
        <v>6</v>
      </c>
      <c r="E630" s="1">
        <v>46106</v>
      </c>
      <c r="F630" s="1">
        <v>46106</v>
      </c>
      <c r="G630">
        <v>792</v>
      </c>
      <c r="H630">
        <v>145.03</v>
      </c>
    </row>
    <row r="631" spans="1:8" customFormat="1" x14ac:dyDescent="0.35">
      <c r="A631" t="s">
        <v>670</v>
      </c>
      <c r="B631" s="1">
        <v>46106</v>
      </c>
      <c r="C631" t="s">
        <v>22</v>
      </c>
      <c r="D631" t="s">
        <v>8</v>
      </c>
      <c r="E631" s="1">
        <v>46107</v>
      </c>
      <c r="F631" s="1">
        <v>46109</v>
      </c>
      <c r="G631">
        <v>2469</v>
      </c>
      <c r="H631">
        <v>390.65</v>
      </c>
    </row>
    <row r="632" spans="1:8" customFormat="1" x14ac:dyDescent="0.35">
      <c r="A632" t="s">
        <v>671</v>
      </c>
      <c r="B632" s="1">
        <v>46107</v>
      </c>
      <c r="C632" t="s">
        <v>31</v>
      </c>
      <c r="D632" t="s">
        <v>12</v>
      </c>
      <c r="E632" s="1">
        <v>46109</v>
      </c>
      <c r="F632" s="1">
        <v>46109</v>
      </c>
      <c r="G632">
        <v>1341</v>
      </c>
      <c r="H632">
        <v>227.78</v>
      </c>
    </row>
    <row r="633" spans="1:8" customFormat="1" x14ac:dyDescent="0.35">
      <c r="A633" t="s">
        <v>672</v>
      </c>
      <c r="B633" s="1">
        <v>46107</v>
      </c>
      <c r="C633" t="s">
        <v>33</v>
      </c>
      <c r="D633" t="s">
        <v>8</v>
      </c>
      <c r="E633" s="1">
        <v>46109</v>
      </c>
      <c r="F633" s="1">
        <v>46110</v>
      </c>
      <c r="G633">
        <v>162</v>
      </c>
      <c r="H633">
        <v>45.27</v>
      </c>
    </row>
    <row r="634" spans="1:8" customFormat="1" x14ac:dyDescent="0.35">
      <c r="A634" t="s">
        <v>673</v>
      </c>
      <c r="B634" s="1">
        <v>46107</v>
      </c>
      <c r="C634" t="s">
        <v>33</v>
      </c>
      <c r="D634" t="s">
        <v>4</v>
      </c>
      <c r="E634" s="1">
        <v>46109</v>
      </c>
      <c r="F634" s="1">
        <v>46111</v>
      </c>
      <c r="G634">
        <v>608</v>
      </c>
      <c r="H634">
        <v>118.54</v>
      </c>
    </row>
    <row r="635" spans="1:8" customFormat="1" x14ac:dyDescent="0.35">
      <c r="A635" t="s">
        <v>674</v>
      </c>
      <c r="B635" s="1">
        <v>46107</v>
      </c>
      <c r="C635" t="s">
        <v>22</v>
      </c>
      <c r="D635" t="s">
        <v>10</v>
      </c>
      <c r="E635" s="1">
        <v>46108</v>
      </c>
      <c r="F635" s="1">
        <v>46108</v>
      </c>
      <c r="G635">
        <v>1911</v>
      </c>
      <c r="H635">
        <v>310.45999999999998</v>
      </c>
    </row>
    <row r="636" spans="1:8" customFormat="1" x14ac:dyDescent="0.35">
      <c r="A636" t="s">
        <v>675</v>
      </c>
      <c r="B636" s="1">
        <v>46107</v>
      </c>
      <c r="C636" t="s">
        <v>33</v>
      </c>
      <c r="D636" t="s">
        <v>6</v>
      </c>
      <c r="E636" s="1">
        <v>46108</v>
      </c>
      <c r="F636" s="1">
        <v>46108</v>
      </c>
      <c r="G636">
        <v>2159</v>
      </c>
      <c r="H636">
        <v>346.86</v>
      </c>
    </row>
    <row r="637" spans="1:8" customFormat="1" x14ac:dyDescent="0.35">
      <c r="A637" t="s">
        <v>676</v>
      </c>
      <c r="B637" s="1">
        <v>46108</v>
      </c>
      <c r="C637" t="s">
        <v>25</v>
      </c>
      <c r="D637" t="s">
        <v>12</v>
      </c>
      <c r="E637" s="1">
        <v>46109</v>
      </c>
      <c r="F637" s="1">
        <v>46113</v>
      </c>
      <c r="G637">
        <v>2416</v>
      </c>
      <c r="H637">
        <v>390.79</v>
      </c>
    </row>
    <row r="638" spans="1:8" customFormat="1" x14ac:dyDescent="0.35">
      <c r="A638" t="s">
        <v>677</v>
      </c>
      <c r="B638" s="1">
        <v>46108</v>
      </c>
      <c r="C638" t="s">
        <v>25</v>
      </c>
      <c r="D638" t="s">
        <v>12</v>
      </c>
      <c r="E638" s="1">
        <v>46110</v>
      </c>
      <c r="F638" s="1">
        <v>46109</v>
      </c>
      <c r="G638">
        <v>1542</v>
      </c>
      <c r="H638">
        <v>263.62</v>
      </c>
    </row>
    <row r="639" spans="1:8" customFormat="1" x14ac:dyDescent="0.35">
      <c r="A639" t="s">
        <v>678</v>
      </c>
      <c r="B639" s="1">
        <v>46109</v>
      </c>
      <c r="C639" t="s">
        <v>31</v>
      </c>
      <c r="D639" t="s">
        <v>8</v>
      </c>
      <c r="E639" s="1">
        <v>46111</v>
      </c>
      <c r="F639" s="1">
        <v>46115</v>
      </c>
      <c r="G639">
        <v>2218</v>
      </c>
      <c r="H639">
        <v>351.76</v>
      </c>
    </row>
    <row r="640" spans="1:8" customFormat="1" x14ac:dyDescent="0.35">
      <c r="A640" t="s">
        <v>679</v>
      </c>
      <c r="B640" s="1">
        <v>46109</v>
      </c>
      <c r="C640" t="s">
        <v>28</v>
      </c>
      <c r="D640" t="s">
        <v>4</v>
      </c>
      <c r="E640" s="1">
        <v>46111</v>
      </c>
      <c r="F640" s="1">
        <v>46111</v>
      </c>
      <c r="G640">
        <v>1240</v>
      </c>
      <c r="H640">
        <v>225.12</v>
      </c>
    </row>
    <row r="641" spans="1:8" customFormat="1" x14ac:dyDescent="0.35">
      <c r="A641" t="s">
        <v>680</v>
      </c>
      <c r="B641" s="1">
        <v>46110</v>
      </c>
      <c r="C641" t="s">
        <v>28</v>
      </c>
      <c r="D641" t="s">
        <v>8</v>
      </c>
      <c r="E641" s="1">
        <v>46112</v>
      </c>
      <c r="F641" s="1">
        <v>46112</v>
      </c>
      <c r="G641">
        <v>313</v>
      </c>
      <c r="H641">
        <v>68.010000000000005</v>
      </c>
    </row>
    <row r="642" spans="1:8" customFormat="1" x14ac:dyDescent="0.35">
      <c r="A642" t="s">
        <v>681</v>
      </c>
      <c r="B642" s="1">
        <v>46110</v>
      </c>
      <c r="C642" t="s">
        <v>25</v>
      </c>
      <c r="D642" t="s">
        <v>6</v>
      </c>
      <c r="E642" s="1">
        <v>46112</v>
      </c>
      <c r="F642" s="1">
        <v>46111</v>
      </c>
      <c r="G642">
        <v>916</v>
      </c>
      <c r="H642">
        <v>170.27</v>
      </c>
    </row>
    <row r="643" spans="1:8" customFormat="1" x14ac:dyDescent="0.35">
      <c r="A643" t="s">
        <v>682</v>
      </c>
      <c r="B643" s="1">
        <v>46110</v>
      </c>
      <c r="C643" t="s">
        <v>25</v>
      </c>
      <c r="D643" t="s">
        <v>6</v>
      </c>
      <c r="E643" s="1">
        <v>46112</v>
      </c>
      <c r="F643" s="1">
        <v>46112</v>
      </c>
      <c r="G643">
        <v>2037</v>
      </c>
      <c r="H643">
        <v>327.91</v>
      </c>
    </row>
    <row r="644" spans="1:8" customFormat="1" x14ac:dyDescent="0.35">
      <c r="A644" t="s">
        <v>683</v>
      </c>
      <c r="B644" s="1">
        <v>46111</v>
      </c>
      <c r="C644" t="s">
        <v>19</v>
      </c>
      <c r="D644" t="s">
        <v>12</v>
      </c>
      <c r="E644" s="1">
        <v>46113</v>
      </c>
      <c r="F644" s="1">
        <v>46112</v>
      </c>
      <c r="G644">
        <v>268</v>
      </c>
      <c r="H644">
        <v>73.63</v>
      </c>
    </row>
    <row r="645" spans="1:8" customFormat="1" x14ac:dyDescent="0.35">
      <c r="A645" t="s">
        <v>684</v>
      </c>
      <c r="B645" s="1">
        <v>46111</v>
      </c>
      <c r="C645" t="s">
        <v>33</v>
      </c>
      <c r="D645" t="s">
        <v>4</v>
      </c>
      <c r="E645" s="1">
        <v>46112</v>
      </c>
      <c r="F645" s="1">
        <v>46112</v>
      </c>
      <c r="G645">
        <v>1969</v>
      </c>
      <c r="H645">
        <v>329.73</v>
      </c>
    </row>
    <row r="646" spans="1:8" customFormat="1" x14ac:dyDescent="0.35">
      <c r="A646" t="s">
        <v>685</v>
      </c>
      <c r="B646" s="1">
        <v>46112</v>
      </c>
      <c r="C646" t="s">
        <v>31</v>
      </c>
      <c r="D646" t="s">
        <v>12</v>
      </c>
      <c r="E646" s="1">
        <v>46114</v>
      </c>
      <c r="F646" s="1">
        <v>46114</v>
      </c>
      <c r="G646">
        <v>1069</v>
      </c>
      <c r="H646">
        <v>195.48</v>
      </c>
    </row>
    <row r="647" spans="1:8" customFormat="1" x14ac:dyDescent="0.35">
      <c r="A647" t="s">
        <v>686</v>
      </c>
      <c r="B647" s="1">
        <v>46112</v>
      </c>
      <c r="C647" t="s">
        <v>31</v>
      </c>
      <c r="D647" t="s">
        <v>4</v>
      </c>
      <c r="E647" s="1">
        <v>46113</v>
      </c>
      <c r="F647" s="1">
        <v>46113</v>
      </c>
      <c r="G647">
        <v>350</v>
      </c>
      <c r="H647">
        <v>80.56</v>
      </c>
    </row>
    <row r="648" spans="1:8" customFormat="1" x14ac:dyDescent="0.35">
      <c r="A648" t="s">
        <v>687</v>
      </c>
      <c r="B648" s="1">
        <v>46112</v>
      </c>
      <c r="C648" t="s">
        <v>28</v>
      </c>
      <c r="D648" t="s">
        <v>6</v>
      </c>
      <c r="E648" s="1">
        <v>46113</v>
      </c>
      <c r="F648" s="1">
        <v>46112</v>
      </c>
      <c r="G648">
        <v>1501</v>
      </c>
      <c r="H648">
        <v>251.18</v>
      </c>
    </row>
    <row r="649" spans="1:8" customFormat="1" x14ac:dyDescent="0.35">
      <c r="A649" t="s">
        <v>688</v>
      </c>
      <c r="B649" s="1">
        <v>46113</v>
      </c>
      <c r="C649" t="s">
        <v>28</v>
      </c>
      <c r="D649" t="s">
        <v>8</v>
      </c>
      <c r="E649" s="1">
        <v>46114</v>
      </c>
      <c r="F649" s="1">
        <v>46113</v>
      </c>
      <c r="G649">
        <v>2145</v>
      </c>
      <c r="H649">
        <v>345.42</v>
      </c>
    </row>
    <row r="650" spans="1:8" customFormat="1" x14ac:dyDescent="0.35">
      <c r="A650" t="s">
        <v>689</v>
      </c>
      <c r="B650" s="1">
        <v>46113</v>
      </c>
      <c r="C650" t="s">
        <v>28</v>
      </c>
      <c r="D650" t="s">
        <v>8</v>
      </c>
      <c r="E650" s="1">
        <v>46114</v>
      </c>
      <c r="F650" s="1">
        <v>46113</v>
      </c>
      <c r="G650">
        <v>187</v>
      </c>
      <c r="H650">
        <v>55.36</v>
      </c>
    </row>
    <row r="651" spans="1:8" customFormat="1" x14ac:dyDescent="0.35">
      <c r="A651" t="s">
        <v>690</v>
      </c>
      <c r="B651" s="1">
        <v>46113</v>
      </c>
      <c r="C651" t="s">
        <v>31</v>
      </c>
      <c r="D651" t="s">
        <v>6</v>
      </c>
      <c r="E651" s="1">
        <v>46114</v>
      </c>
      <c r="F651" s="1">
        <v>46114</v>
      </c>
      <c r="G651">
        <v>1416</v>
      </c>
      <c r="H651">
        <v>248.89</v>
      </c>
    </row>
    <row r="652" spans="1:8" customFormat="1" x14ac:dyDescent="0.35">
      <c r="A652" t="s">
        <v>691</v>
      </c>
      <c r="B652" s="1">
        <v>46113</v>
      </c>
      <c r="C652" t="s">
        <v>25</v>
      </c>
      <c r="D652" t="s">
        <v>8</v>
      </c>
      <c r="E652" s="1">
        <v>46114</v>
      </c>
      <c r="F652" s="1">
        <v>46114</v>
      </c>
      <c r="G652">
        <v>1283</v>
      </c>
      <c r="H652">
        <v>213.06</v>
      </c>
    </row>
    <row r="653" spans="1:8" customFormat="1" x14ac:dyDescent="0.35">
      <c r="A653" t="s">
        <v>692</v>
      </c>
      <c r="B653" s="1">
        <v>46113</v>
      </c>
      <c r="C653" t="s">
        <v>33</v>
      </c>
      <c r="D653" t="s">
        <v>4</v>
      </c>
      <c r="E653" s="1">
        <v>46115</v>
      </c>
      <c r="F653" s="1">
        <v>46115</v>
      </c>
      <c r="G653">
        <v>1073</v>
      </c>
      <c r="H653">
        <v>189.89</v>
      </c>
    </row>
    <row r="654" spans="1:8" customFormat="1" x14ac:dyDescent="0.35">
      <c r="A654" t="s">
        <v>693</v>
      </c>
      <c r="B654" s="1">
        <v>46113</v>
      </c>
      <c r="C654" t="s">
        <v>28</v>
      </c>
      <c r="D654" t="s">
        <v>6</v>
      </c>
      <c r="E654" s="1">
        <v>46115</v>
      </c>
      <c r="F654" s="1">
        <v>46115</v>
      </c>
      <c r="G654">
        <v>1246</v>
      </c>
      <c r="H654">
        <v>216.22</v>
      </c>
    </row>
    <row r="655" spans="1:8" customFormat="1" x14ac:dyDescent="0.35">
      <c r="A655" t="s">
        <v>694</v>
      </c>
      <c r="B655" s="1">
        <v>46114</v>
      </c>
      <c r="C655" t="s">
        <v>19</v>
      </c>
      <c r="D655" t="s">
        <v>6</v>
      </c>
      <c r="E655" s="1">
        <v>46116</v>
      </c>
      <c r="F655" s="1">
        <v>46119</v>
      </c>
      <c r="G655">
        <v>432</v>
      </c>
      <c r="H655">
        <v>91.25</v>
      </c>
    </row>
    <row r="656" spans="1:8" customFormat="1" x14ac:dyDescent="0.35">
      <c r="A656" t="s">
        <v>695</v>
      </c>
      <c r="B656" s="1">
        <v>46115</v>
      </c>
      <c r="C656" t="s">
        <v>22</v>
      </c>
      <c r="D656" t="s">
        <v>6</v>
      </c>
      <c r="E656" s="1">
        <v>46117</v>
      </c>
      <c r="F656" s="1">
        <v>46117</v>
      </c>
      <c r="G656">
        <v>572</v>
      </c>
      <c r="H656">
        <v>109.19</v>
      </c>
    </row>
    <row r="657" spans="1:8" customFormat="1" x14ac:dyDescent="0.35">
      <c r="A657" t="s">
        <v>696</v>
      </c>
      <c r="B657" s="1">
        <v>46115</v>
      </c>
      <c r="C657" t="s">
        <v>22</v>
      </c>
      <c r="D657" t="s">
        <v>12</v>
      </c>
      <c r="E657" s="1">
        <v>46116</v>
      </c>
      <c r="F657" s="1">
        <v>46116</v>
      </c>
      <c r="G657">
        <v>1008</v>
      </c>
      <c r="H657">
        <v>175.75</v>
      </c>
    </row>
    <row r="658" spans="1:8" customFormat="1" x14ac:dyDescent="0.35">
      <c r="A658" t="s">
        <v>697</v>
      </c>
      <c r="B658" s="1">
        <v>46115</v>
      </c>
      <c r="C658" t="s">
        <v>28</v>
      </c>
      <c r="D658" t="s">
        <v>6</v>
      </c>
      <c r="E658" s="1">
        <v>46117</v>
      </c>
      <c r="F658" s="1">
        <v>46117</v>
      </c>
      <c r="G658">
        <v>531</v>
      </c>
      <c r="H658">
        <v>109.02</v>
      </c>
    </row>
    <row r="659" spans="1:8" customFormat="1" x14ac:dyDescent="0.35">
      <c r="A659" t="s">
        <v>698</v>
      </c>
      <c r="B659" s="1">
        <v>46115</v>
      </c>
      <c r="C659" t="s">
        <v>25</v>
      </c>
      <c r="D659" t="s">
        <v>8</v>
      </c>
      <c r="E659" s="1">
        <v>46117</v>
      </c>
      <c r="F659" s="1">
        <v>46118</v>
      </c>
      <c r="G659">
        <v>2457</v>
      </c>
      <c r="H659">
        <v>392.8</v>
      </c>
    </row>
    <row r="660" spans="1:8" customFormat="1" x14ac:dyDescent="0.35">
      <c r="A660" t="s">
        <v>699</v>
      </c>
      <c r="B660" s="1">
        <v>46116</v>
      </c>
      <c r="C660" t="s">
        <v>28</v>
      </c>
      <c r="D660" t="s">
        <v>8</v>
      </c>
      <c r="E660" s="1">
        <v>46117</v>
      </c>
      <c r="F660" s="1">
        <v>46116</v>
      </c>
      <c r="G660">
        <v>962</v>
      </c>
      <c r="H660">
        <v>174.35</v>
      </c>
    </row>
    <row r="661" spans="1:8" customFormat="1" x14ac:dyDescent="0.35">
      <c r="A661" t="s">
        <v>700</v>
      </c>
      <c r="B661" s="1">
        <v>46116</v>
      </c>
      <c r="C661" t="s">
        <v>31</v>
      </c>
      <c r="D661" t="s">
        <v>6</v>
      </c>
      <c r="E661" s="1">
        <v>46117</v>
      </c>
      <c r="F661" s="1">
        <v>46117</v>
      </c>
      <c r="G661">
        <v>1074</v>
      </c>
      <c r="H661">
        <v>185.19</v>
      </c>
    </row>
    <row r="662" spans="1:8" customFormat="1" x14ac:dyDescent="0.35">
      <c r="A662" t="s">
        <v>701</v>
      </c>
      <c r="B662" s="1">
        <v>46116</v>
      </c>
      <c r="C662" t="s">
        <v>33</v>
      </c>
      <c r="D662" t="s">
        <v>4</v>
      </c>
      <c r="E662" s="1">
        <v>46117</v>
      </c>
      <c r="F662" s="1">
        <v>46117</v>
      </c>
      <c r="G662">
        <v>1154</v>
      </c>
      <c r="H662">
        <v>206.57</v>
      </c>
    </row>
    <row r="663" spans="1:8" customFormat="1" x14ac:dyDescent="0.35">
      <c r="A663" t="s">
        <v>702</v>
      </c>
      <c r="B663" s="1">
        <v>46117</v>
      </c>
      <c r="C663" t="s">
        <v>28</v>
      </c>
      <c r="D663" t="s">
        <v>6</v>
      </c>
      <c r="E663" s="1">
        <v>46119</v>
      </c>
      <c r="F663" s="1">
        <v>46119</v>
      </c>
      <c r="G663">
        <v>2465</v>
      </c>
      <c r="H663">
        <v>399.12</v>
      </c>
    </row>
    <row r="664" spans="1:8" customFormat="1" x14ac:dyDescent="0.35">
      <c r="A664" t="s">
        <v>703</v>
      </c>
      <c r="B664" s="1">
        <v>46117</v>
      </c>
      <c r="C664" t="s">
        <v>19</v>
      </c>
      <c r="D664" t="s">
        <v>8</v>
      </c>
      <c r="E664" s="1">
        <v>46119</v>
      </c>
      <c r="F664" s="1">
        <v>46119</v>
      </c>
      <c r="G664">
        <v>2040</v>
      </c>
      <c r="H664">
        <v>331.31</v>
      </c>
    </row>
    <row r="665" spans="1:8" customFormat="1" x14ac:dyDescent="0.35">
      <c r="A665" t="s">
        <v>704</v>
      </c>
      <c r="B665" s="1">
        <v>46117</v>
      </c>
      <c r="C665" t="s">
        <v>33</v>
      </c>
      <c r="D665" t="s">
        <v>12</v>
      </c>
      <c r="E665" s="1">
        <v>46119</v>
      </c>
      <c r="F665" s="1">
        <v>46119</v>
      </c>
      <c r="G665">
        <v>1073</v>
      </c>
      <c r="H665">
        <v>192.73</v>
      </c>
    </row>
    <row r="666" spans="1:8" customFormat="1" x14ac:dyDescent="0.35">
      <c r="A666" t="s">
        <v>705</v>
      </c>
      <c r="B666" s="1">
        <v>46118</v>
      </c>
      <c r="C666" t="s">
        <v>25</v>
      </c>
      <c r="D666" t="s">
        <v>12</v>
      </c>
      <c r="E666" s="1">
        <v>46120</v>
      </c>
      <c r="F666" s="1">
        <v>46119</v>
      </c>
      <c r="G666">
        <v>1316</v>
      </c>
      <c r="H666">
        <v>230.26</v>
      </c>
    </row>
    <row r="667" spans="1:8" customFormat="1" x14ac:dyDescent="0.35">
      <c r="A667" t="s">
        <v>706</v>
      </c>
      <c r="B667" s="1">
        <v>46118</v>
      </c>
      <c r="C667" t="s">
        <v>31</v>
      </c>
      <c r="D667" t="s">
        <v>12</v>
      </c>
      <c r="E667" s="1">
        <v>46119</v>
      </c>
      <c r="F667" s="1">
        <v>46119</v>
      </c>
      <c r="G667">
        <v>1885</v>
      </c>
      <c r="H667">
        <v>315.06</v>
      </c>
    </row>
    <row r="668" spans="1:8" customFormat="1" x14ac:dyDescent="0.35">
      <c r="A668" t="s">
        <v>707</v>
      </c>
      <c r="B668" s="1">
        <v>46118</v>
      </c>
      <c r="C668" t="s">
        <v>19</v>
      </c>
      <c r="D668" t="s">
        <v>4</v>
      </c>
      <c r="E668" s="1">
        <v>46119</v>
      </c>
      <c r="F668" s="1">
        <v>46118</v>
      </c>
      <c r="G668">
        <v>270</v>
      </c>
      <c r="H668">
        <v>80.510000000000005</v>
      </c>
    </row>
    <row r="669" spans="1:8" customFormat="1" x14ac:dyDescent="0.35">
      <c r="A669" t="s">
        <v>708</v>
      </c>
      <c r="B669" s="1">
        <v>46119</v>
      </c>
      <c r="C669" t="s">
        <v>22</v>
      </c>
      <c r="D669" t="s">
        <v>6</v>
      </c>
      <c r="E669" s="1">
        <v>46121</v>
      </c>
      <c r="F669" s="1">
        <v>46120</v>
      </c>
      <c r="G669">
        <v>2230</v>
      </c>
      <c r="H669">
        <v>357.16</v>
      </c>
    </row>
    <row r="670" spans="1:8" customFormat="1" x14ac:dyDescent="0.35">
      <c r="A670" t="s">
        <v>709</v>
      </c>
      <c r="B670" s="1">
        <v>46119</v>
      </c>
      <c r="C670" t="s">
        <v>25</v>
      </c>
      <c r="D670" t="s">
        <v>6</v>
      </c>
      <c r="E670" s="1">
        <v>46121</v>
      </c>
      <c r="F670" s="1">
        <v>46120</v>
      </c>
      <c r="G670">
        <v>1130</v>
      </c>
      <c r="H670">
        <v>194.39</v>
      </c>
    </row>
    <row r="671" spans="1:8" customFormat="1" x14ac:dyDescent="0.35">
      <c r="A671" t="s">
        <v>710</v>
      </c>
      <c r="B671" s="1">
        <v>46119</v>
      </c>
      <c r="C671" t="s">
        <v>19</v>
      </c>
      <c r="D671" t="s">
        <v>10</v>
      </c>
      <c r="E671" s="1">
        <v>46121</v>
      </c>
      <c r="F671" s="1">
        <v>46122</v>
      </c>
      <c r="G671">
        <v>1297</v>
      </c>
      <c r="H671">
        <v>207.99</v>
      </c>
    </row>
    <row r="672" spans="1:8" customFormat="1" x14ac:dyDescent="0.35">
      <c r="A672" t="s">
        <v>711</v>
      </c>
      <c r="B672" s="1">
        <v>46119</v>
      </c>
      <c r="C672" t="s">
        <v>33</v>
      </c>
      <c r="D672" t="s">
        <v>10</v>
      </c>
      <c r="E672" s="1">
        <v>46120</v>
      </c>
      <c r="F672" s="1">
        <v>46119</v>
      </c>
      <c r="G672">
        <v>603</v>
      </c>
      <c r="H672">
        <v>116.72</v>
      </c>
    </row>
    <row r="673" spans="1:8" customFormat="1" x14ac:dyDescent="0.35">
      <c r="A673" t="s">
        <v>712</v>
      </c>
      <c r="B673" s="1">
        <v>46120</v>
      </c>
      <c r="C673" t="s">
        <v>25</v>
      </c>
      <c r="D673" t="s">
        <v>6</v>
      </c>
      <c r="E673" s="1">
        <v>46121</v>
      </c>
      <c r="F673" s="1">
        <v>46121</v>
      </c>
      <c r="G673">
        <v>229</v>
      </c>
      <c r="H673">
        <v>69.08</v>
      </c>
    </row>
    <row r="674" spans="1:8" customFormat="1" x14ac:dyDescent="0.35">
      <c r="A674" t="s">
        <v>713</v>
      </c>
      <c r="B674" s="1">
        <v>46120</v>
      </c>
      <c r="C674" t="s">
        <v>33</v>
      </c>
      <c r="D674" t="s">
        <v>8</v>
      </c>
      <c r="E674" s="1">
        <v>46122</v>
      </c>
      <c r="F674" s="1">
        <v>46122</v>
      </c>
      <c r="G674">
        <v>181</v>
      </c>
      <c r="H674">
        <v>52.67</v>
      </c>
    </row>
    <row r="675" spans="1:8" customFormat="1" x14ac:dyDescent="0.35">
      <c r="A675" t="s">
        <v>714</v>
      </c>
      <c r="B675" s="1">
        <v>46120</v>
      </c>
      <c r="C675" t="s">
        <v>28</v>
      </c>
      <c r="D675" t="s">
        <v>10</v>
      </c>
      <c r="E675" s="1">
        <v>46122</v>
      </c>
      <c r="F675" s="1">
        <v>46122</v>
      </c>
      <c r="G675">
        <v>379</v>
      </c>
      <c r="H675">
        <v>81.45</v>
      </c>
    </row>
    <row r="676" spans="1:8" customFormat="1" x14ac:dyDescent="0.35">
      <c r="A676" t="s">
        <v>715</v>
      </c>
      <c r="B676" s="1">
        <v>46121</v>
      </c>
      <c r="C676" t="s">
        <v>19</v>
      </c>
      <c r="D676" t="s">
        <v>10</v>
      </c>
      <c r="E676" s="1">
        <v>46123</v>
      </c>
      <c r="F676" s="1">
        <v>46122</v>
      </c>
      <c r="G676">
        <v>438</v>
      </c>
      <c r="H676">
        <v>91.82</v>
      </c>
    </row>
    <row r="677" spans="1:8" customFormat="1" x14ac:dyDescent="0.35">
      <c r="A677" t="s">
        <v>716</v>
      </c>
      <c r="B677" s="1">
        <v>46121</v>
      </c>
      <c r="C677" t="s">
        <v>22</v>
      </c>
      <c r="D677" t="s">
        <v>4</v>
      </c>
      <c r="E677" s="1">
        <v>46123</v>
      </c>
      <c r="F677" s="1">
        <v>46124</v>
      </c>
      <c r="G677">
        <v>2468</v>
      </c>
      <c r="H677">
        <v>403.9</v>
      </c>
    </row>
    <row r="678" spans="1:8" customFormat="1" x14ac:dyDescent="0.35">
      <c r="A678" t="s">
        <v>717</v>
      </c>
      <c r="B678" s="1">
        <v>46121</v>
      </c>
      <c r="C678" t="s">
        <v>33</v>
      </c>
      <c r="D678" t="s">
        <v>4</v>
      </c>
      <c r="E678" s="1">
        <v>46122</v>
      </c>
      <c r="F678" s="1">
        <v>46126</v>
      </c>
      <c r="G678">
        <v>1824</v>
      </c>
      <c r="H678">
        <v>311.70999999999998</v>
      </c>
    </row>
    <row r="679" spans="1:8" customFormat="1" x14ac:dyDescent="0.35">
      <c r="A679" t="s">
        <v>718</v>
      </c>
      <c r="B679" s="1">
        <v>46121</v>
      </c>
      <c r="C679" t="s">
        <v>22</v>
      </c>
      <c r="D679" t="s">
        <v>12</v>
      </c>
      <c r="E679" s="1">
        <v>46123</v>
      </c>
      <c r="F679" s="1">
        <v>46123</v>
      </c>
      <c r="G679">
        <v>535</v>
      </c>
      <c r="H679">
        <v>104.96</v>
      </c>
    </row>
    <row r="680" spans="1:8" customFormat="1" x14ac:dyDescent="0.35">
      <c r="A680" t="s">
        <v>719</v>
      </c>
      <c r="B680" s="1">
        <v>46121</v>
      </c>
      <c r="C680" t="s">
        <v>28</v>
      </c>
      <c r="D680" t="s">
        <v>8</v>
      </c>
      <c r="E680" s="1">
        <v>46122</v>
      </c>
      <c r="F680" s="1">
        <v>46122</v>
      </c>
      <c r="G680">
        <v>2455</v>
      </c>
      <c r="H680">
        <v>388.12</v>
      </c>
    </row>
    <row r="681" spans="1:8" customFormat="1" x14ac:dyDescent="0.35">
      <c r="A681" t="s">
        <v>720</v>
      </c>
      <c r="B681" s="1">
        <v>46121</v>
      </c>
      <c r="C681" t="s">
        <v>19</v>
      </c>
      <c r="D681" t="s">
        <v>6</v>
      </c>
      <c r="E681" s="1">
        <v>46123</v>
      </c>
      <c r="F681" s="1">
        <v>46123</v>
      </c>
      <c r="G681">
        <v>1818</v>
      </c>
      <c r="H681">
        <v>305.18</v>
      </c>
    </row>
    <row r="682" spans="1:8" customFormat="1" x14ac:dyDescent="0.35">
      <c r="A682" t="s">
        <v>721</v>
      </c>
      <c r="B682" s="1">
        <v>46121</v>
      </c>
      <c r="C682" t="s">
        <v>22</v>
      </c>
      <c r="D682" t="s">
        <v>12</v>
      </c>
      <c r="E682" s="1">
        <v>46123</v>
      </c>
      <c r="F682" s="1">
        <v>46124</v>
      </c>
      <c r="G682">
        <v>951</v>
      </c>
      <c r="H682">
        <v>169.3</v>
      </c>
    </row>
    <row r="683" spans="1:8" customFormat="1" x14ac:dyDescent="0.35">
      <c r="A683" t="s">
        <v>722</v>
      </c>
      <c r="B683" s="1">
        <v>46121</v>
      </c>
      <c r="C683" t="s">
        <v>28</v>
      </c>
      <c r="D683" t="s">
        <v>8</v>
      </c>
      <c r="E683" s="1">
        <v>46122</v>
      </c>
      <c r="F683" s="1">
        <v>46121</v>
      </c>
      <c r="G683">
        <v>1515</v>
      </c>
      <c r="H683">
        <v>251.34</v>
      </c>
    </row>
    <row r="684" spans="1:8" customFormat="1" x14ac:dyDescent="0.35">
      <c r="A684" t="s">
        <v>723</v>
      </c>
      <c r="B684" s="1">
        <v>46122</v>
      </c>
      <c r="C684" t="s">
        <v>19</v>
      </c>
      <c r="D684" t="s">
        <v>4</v>
      </c>
      <c r="E684" s="1">
        <v>46123</v>
      </c>
      <c r="F684" s="1">
        <v>46122</v>
      </c>
      <c r="G684">
        <v>1868</v>
      </c>
      <c r="H684">
        <v>312.27</v>
      </c>
    </row>
    <row r="685" spans="1:8" customFormat="1" x14ac:dyDescent="0.35">
      <c r="A685" t="s">
        <v>724</v>
      </c>
      <c r="B685" s="1">
        <v>46122</v>
      </c>
      <c r="C685" t="s">
        <v>28</v>
      </c>
      <c r="D685" t="s">
        <v>8</v>
      </c>
      <c r="E685" s="1">
        <v>46124</v>
      </c>
      <c r="F685" s="1">
        <v>46125</v>
      </c>
      <c r="G685">
        <v>2377</v>
      </c>
      <c r="H685">
        <v>382.71</v>
      </c>
    </row>
    <row r="686" spans="1:8" customFormat="1" x14ac:dyDescent="0.35">
      <c r="A686" t="s">
        <v>725</v>
      </c>
      <c r="B686" s="1">
        <v>46123</v>
      </c>
      <c r="C686" t="s">
        <v>19</v>
      </c>
      <c r="D686" t="s">
        <v>6</v>
      </c>
      <c r="E686" s="1">
        <v>46124</v>
      </c>
      <c r="F686" s="1">
        <v>46124</v>
      </c>
      <c r="G686">
        <v>1100</v>
      </c>
      <c r="H686">
        <v>191.07</v>
      </c>
    </row>
    <row r="687" spans="1:8" customFormat="1" x14ac:dyDescent="0.35">
      <c r="A687" t="s">
        <v>726</v>
      </c>
      <c r="B687" s="1">
        <v>46123</v>
      </c>
      <c r="C687" t="s">
        <v>28</v>
      </c>
      <c r="D687" t="s">
        <v>6</v>
      </c>
      <c r="E687" s="1">
        <v>46125</v>
      </c>
      <c r="F687" s="1">
        <v>46125</v>
      </c>
      <c r="G687">
        <v>1169</v>
      </c>
      <c r="H687">
        <v>208</v>
      </c>
    </row>
    <row r="688" spans="1:8" customFormat="1" x14ac:dyDescent="0.35">
      <c r="A688" t="s">
        <v>727</v>
      </c>
      <c r="B688" s="1">
        <v>46123</v>
      </c>
      <c r="C688" t="s">
        <v>33</v>
      </c>
      <c r="D688" t="s">
        <v>12</v>
      </c>
      <c r="E688" s="1">
        <v>46125</v>
      </c>
      <c r="F688" s="1">
        <v>46126</v>
      </c>
      <c r="G688">
        <v>2112</v>
      </c>
      <c r="H688">
        <v>349.57</v>
      </c>
    </row>
    <row r="689" spans="1:8" customFormat="1" x14ac:dyDescent="0.35">
      <c r="A689" t="s">
        <v>728</v>
      </c>
      <c r="B689" s="1">
        <v>46124</v>
      </c>
      <c r="C689" t="s">
        <v>25</v>
      </c>
      <c r="D689" t="s">
        <v>6</v>
      </c>
      <c r="E689" s="1">
        <v>46126</v>
      </c>
      <c r="F689" s="1">
        <v>46125</v>
      </c>
      <c r="G689">
        <v>1036</v>
      </c>
      <c r="H689">
        <v>187.32</v>
      </c>
    </row>
    <row r="690" spans="1:8" customFormat="1" x14ac:dyDescent="0.35">
      <c r="A690" t="s">
        <v>729</v>
      </c>
      <c r="B690" s="1">
        <v>46124</v>
      </c>
      <c r="C690" t="s">
        <v>28</v>
      </c>
      <c r="D690" t="s">
        <v>12</v>
      </c>
      <c r="E690" s="1">
        <v>46126</v>
      </c>
      <c r="F690" s="1">
        <v>46129</v>
      </c>
      <c r="G690">
        <v>693</v>
      </c>
      <c r="H690">
        <v>133.37</v>
      </c>
    </row>
    <row r="691" spans="1:8" customFormat="1" x14ac:dyDescent="0.35">
      <c r="A691" t="s">
        <v>730</v>
      </c>
      <c r="B691" s="1">
        <v>46124</v>
      </c>
      <c r="C691" t="s">
        <v>22</v>
      </c>
      <c r="D691" t="s">
        <v>10</v>
      </c>
      <c r="E691" s="1">
        <v>46126</v>
      </c>
      <c r="F691" s="1">
        <v>46125</v>
      </c>
      <c r="G691">
        <v>374</v>
      </c>
      <c r="H691">
        <v>82.95</v>
      </c>
    </row>
    <row r="692" spans="1:8" customFormat="1" x14ac:dyDescent="0.35">
      <c r="A692" t="s">
        <v>731</v>
      </c>
      <c r="B692" s="1">
        <v>46124</v>
      </c>
      <c r="C692" t="s">
        <v>22</v>
      </c>
      <c r="D692" t="s">
        <v>4</v>
      </c>
      <c r="E692" s="1">
        <v>46125</v>
      </c>
      <c r="F692" s="1">
        <v>46124</v>
      </c>
      <c r="G692">
        <v>1360</v>
      </c>
      <c r="H692">
        <v>244.07</v>
      </c>
    </row>
    <row r="693" spans="1:8" customFormat="1" x14ac:dyDescent="0.35">
      <c r="A693" t="s">
        <v>732</v>
      </c>
      <c r="B693" s="1">
        <v>46125</v>
      </c>
      <c r="C693" t="s">
        <v>33</v>
      </c>
      <c r="D693" t="s">
        <v>10</v>
      </c>
      <c r="E693" s="1">
        <v>46126</v>
      </c>
      <c r="F693" s="1">
        <v>46126</v>
      </c>
      <c r="G693">
        <v>1189</v>
      </c>
      <c r="H693">
        <v>198.17</v>
      </c>
    </row>
    <row r="694" spans="1:8" customFormat="1" x14ac:dyDescent="0.35">
      <c r="A694" t="s">
        <v>733</v>
      </c>
      <c r="B694" s="1">
        <v>46125</v>
      </c>
      <c r="C694" t="s">
        <v>31</v>
      </c>
      <c r="D694" t="s">
        <v>12</v>
      </c>
      <c r="E694" s="1">
        <v>46126</v>
      </c>
      <c r="F694" s="1">
        <v>46126</v>
      </c>
      <c r="G694">
        <v>598</v>
      </c>
      <c r="H694">
        <v>117.97</v>
      </c>
    </row>
    <row r="695" spans="1:8" customFormat="1" x14ac:dyDescent="0.35">
      <c r="A695" t="s">
        <v>734</v>
      </c>
      <c r="B695" s="1">
        <v>46125</v>
      </c>
      <c r="C695" t="s">
        <v>28</v>
      </c>
      <c r="D695" t="s">
        <v>12</v>
      </c>
      <c r="E695" s="1">
        <v>46127</v>
      </c>
      <c r="F695" s="1">
        <v>46128</v>
      </c>
      <c r="G695">
        <v>572</v>
      </c>
      <c r="H695">
        <v>115.99</v>
      </c>
    </row>
    <row r="696" spans="1:8" customFormat="1" x14ac:dyDescent="0.35">
      <c r="A696" t="s">
        <v>735</v>
      </c>
      <c r="B696" s="1">
        <v>46125</v>
      </c>
      <c r="C696" t="s">
        <v>31</v>
      </c>
      <c r="D696" t="s">
        <v>4</v>
      </c>
      <c r="E696" s="1">
        <v>46127</v>
      </c>
      <c r="F696" s="1">
        <v>46127</v>
      </c>
      <c r="G696">
        <v>1958</v>
      </c>
      <c r="H696">
        <v>327.01</v>
      </c>
    </row>
    <row r="697" spans="1:8" customFormat="1" x14ac:dyDescent="0.35">
      <c r="A697" t="s">
        <v>736</v>
      </c>
      <c r="B697" s="1">
        <v>46125</v>
      </c>
      <c r="C697" t="s">
        <v>31</v>
      </c>
      <c r="D697" t="s">
        <v>10</v>
      </c>
      <c r="E697" s="1">
        <v>46126</v>
      </c>
      <c r="F697" s="1">
        <v>46127</v>
      </c>
      <c r="G697">
        <v>185</v>
      </c>
      <c r="H697">
        <v>47.08</v>
      </c>
    </row>
    <row r="698" spans="1:8" customFormat="1" x14ac:dyDescent="0.35">
      <c r="A698" t="s">
        <v>737</v>
      </c>
      <c r="B698" s="1">
        <v>46125</v>
      </c>
      <c r="C698" t="s">
        <v>31</v>
      </c>
      <c r="D698" t="s">
        <v>4</v>
      </c>
      <c r="E698" s="1">
        <v>46127</v>
      </c>
      <c r="F698" s="1">
        <v>46126</v>
      </c>
      <c r="G698">
        <v>975</v>
      </c>
      <c r="H698">
        <v>175.63</v>
      </c>
    </row>
    <row r="699" spans="1:8" customFormat="1" x14ac:dyDescent="0.35">
      <c r="A699" t="s">
        <v>738</v>
      </c>
      <c r="B699" s="1">
        <v>46125</v>
      </c>
      <c r="C699" t="s">
        <v>22</v>
      </c>
      <c r="D699" t="s">
        <v>10</v>
      </c>
      <c r="E699" s="1">
        <v>46127</v>
      </c>
      <c r="F699" s="1">
        <v>46131</v>
      </c>
      <c r="G699">
        <v>2247</v>
      </c>
      <c r="H699">
        <v>364.93</v>
      </c>
    </row>
    <row r="700" spans="1:8" customFormat="1" x14ac:dyDescent="0.35">
      <c r="A700" t="s">
        <v>739</v>
      </c>
      <c r="B700" s="1">
        <v>46128</v>
      </c>
      <c r="C700" t="s">
        <v>22</v>
      </c>
      <c r="D700" t="s">
        <v>12</v>
      </c>
      <c r="E700" s="1">
        <v>46129</v>
      </c>
      <c r="F700" s="1">
        <v>46132</v>
      </c>
      <c r="G700">
        <v>1819</v>
      </c>
      <c r="H700">
        <v>298.49</v>
      </c>
    </row>
    <row r="701" spans="1:8" customFormat="1" x14ac:dyDescent="0.35">
      <c r="A701" t="s">
        <v>740</v>
      </c>
      <c r="B701" s="1">
        <v>46128</v>
      </c>
      <c r="C701" t="s">
        <v>25</v>
      </c>
      <c r="D701" t="s">
        <v>6</v>
      </c>
      <c r="E701" s="1">
        <v>46130</v>
      </c>
      <c r="F701" s="1">
        <v>46130</v>
      </c>
      <c r="G701">
        <v>2263</v>
      </c>
      <c r="H701">
        <v>376.07</v>
      </c>
    </row>
    <row r="702" spans="1:8" customFormat="1" x14ac:dyDescent="0.35">
      <c r="A702" t="s">
        <v>741</v>
      </c>
      <c r="B702" s="1">
        <v>46129</v>
      </c>
      <c r="C702" t="s">
        <v>31</v>
      </c>
      <c r="D702" t="s">
        <v>6</v>
      </c>
      <c r="E702" s="1">
        <v>46130</v>
      </c>
      <c r="F702" s="1">
        <v>46129</v>
      </c>
      <c r="G702">
        <v>2182</v>
      </c>
      <c r="H702">
        <v>362.83</v>
      </c>
    </row>
    <row r="703" spans="1:8" customFormat="1" x14ac:dyDescent="0.35">
      <c r="A703" t="s">
        <v>742</v>
      </c>
      <c r="B703" s="1">
        <v>46129</v>
      </c>
      <c r="C703" t="s">
        <v>22</v>
      </c>
      <c r="D703" t="s">
        <v>6</v>
      </c>
      <c r="E703" s="1">
        <v>46131</v>
      </c>
      <c r="F703" s="1">
        <v>46130</v>
      </c>
      <c r="G703">
        <v>2288</v>
      </c>
      <c r="H703">
        <v>370.46</v>
      </c>
    </row>
    <row r="704" spans="1:8" customFormat="1" x14ac:dyDescent="0.35">
      <c r="A704" t="s">
        <v>743</v>
      </c>
      <c r="B704" s="1">
        <v>46129</v>
      </c>
      <c r="C704" t="s">
        <v>28</v>
      </c>
      <c r="D704" t="s">
        <v>10</v>
      </c>
      <c r="E704" s="1">
        <v>46130</v>
      </c>
      <c r="F704" s="1">
        <v>46130</v>
      </c>
      <c r="G704">
        <v>781</v>
      </c>
      <c r="H704">
        <v>135.22</v>
      </c>
    </row>
    <row r="705" spans="1:8" customFormat="1" x14ac:dyDescent="0.35">
      <c r="A705" t="s">
        <v>744</v>
      </c>
      <c r="B705" s="1">
        <v>46129</v>
      </c>
      <c r="C705" t="s">
        <v>31</v>
      </c>
      <c r="D705" t="s">
        <v>12</v>
      </c>
      <c r="E705" s="1">
        <v>46131</v>
      </c>
      <c r="F705" s="1">
        <v>46130</v>
      </c>
      <c r="G705">
        <v>78</v>
      </c>
      <c r="H705">
        <v>41.13</v>
      </c>
    </row>
    <row r="706" spans="1:8" customFormat="1" x14ac:dyDescent="0.35">
      <c r="A706" t="s">
        <v>745</v>
      </c>
      <c r="B706" s="1">
        <v>46130</v>
      </c>
      <c r="C706" t="s">
        <v>19</v>
      </c>
      <c r="D706" t="s">
        <v>6</v>
      </c>
      <c r="E706" s="1">
        <v>46131</v>
      </c>
      <c r="F706" s="1">
        <v>46131</v>
      </c>
      <c r="G706">
        <v>973</v>
      </c>
      <c r="H706">
        <v>173.76</v>
      </c>
    </row>
    <row r="707" spans="1:8" customFormat="1" x14ac:dyDescent="0.35">
      <c r="A707" t="s">
        <v>746</v>
      </c>
      <c r="B707" s="1">
        <v>46131</v>
      </c>
      <c r="C707" t="s">
        <v>31</v>
      </c>
      <c r="D707" t="s">
        <v>12</v>
      </c>
      <c r="E707" s="1">
        <v>46132</v>
      </c>
      <c r="F707" s="1">
        <v>46133</v>
      </c>
      <c r="G707">
        <v>649</v>
      </c>
      <c r="H707">
        <v>123.33</v>
      </c>
    </row>
    <row r="708" spans="1:8" customFormat="1" x14ac:dyDescent="0.35">
      <c r="A708" t="s">
        <v>747</v>
      </c>
      <c r="B708" s="1">
        <v>46132</v>
      </c>
      <c r="C708" t="s">
        <v>28</v>
      </c>
      <c r="D708" t="s">
        <v>10</v>
      </c>
      <c r="E708" s="1">
        <v>46133</v>
      </c>
      <c r="F708" s="1">
        <v>46133</v>
      </c>
      <c r="G708">
        <v>1272</v>
      </c>
      <c r="H708">
        <v>214.9</v>
      </c>
    </row>
    <row r="709" spans="1:8" customFormat="1" x14ac:dyDescent="0.35">
      <c r="A709" t="s">
        <v>748</v>
      </c>
      <c r="B709" s="1">
        <v>46132</v>
      </c>
      <c r="C709" t="s">
        <v>25</v>
      </c>
      <c r="D709" t="s">
        <v>12</v>
      </c>
      <c r="E709" s="1">
        <v>46134</v>
      </c>
      <c r="F709" s="1">
        <v>46134</v>
      </c>
      <c r="G709">
        <v>2316</v>
      </c>
      <c r="H709">
        <v>378.55</v>
      </c>
    </row>
    <row r="710" spans="1:8" customFormat="1" x14ac:dyDescent="0.35">
      <c r="A710" t="s">
        <v>749</v>
      </c>
      <c r="B710" s="1">
        <v>46132</v>
      </c>
      <c r="C710" t="s">
        <v>28</v>
      </c>
      <c r="D710" t="s">
        <v>12</v>
      </c>
      <c r="E710" s="1">
        <v>46134</v>
      </c>
      <c r="F710" s="1">
        <v>46134</v>
      </c>
      <c r="G710">
        <v>1216</v>
      </c>
      <c r="H710">
        <v>210.64</v>
      </c>
    </row>
    <row r="711" spans="1:8" customFormat="1" x14ac:dyDescent="0.35">
      <c r="A711" t="s">
        <v>750</v>
      </c>
      <c r="B711" s="1">
        <v>46133</v>
      </c>
      <c r="C711" t="s">
        <v>25</v>
      </c>
      <c r="D711" t="s">
        <v>4</v>
      </c>
      <c r="E711" s="1">
        <v>46135</v>
      </c>
      <c r="F711" s="1">
        <v>46134</v>
      </c>
      <c r="G711">
        <v>585</v>
      </c>
      <c r="H711">
        <v>121.41</v>
      </c>
    </row>
    <row r="712" spans="1:8" customFormat="1" x14ac:dyDescent="0.35">
      <c r="A712" t="s">
        <v>751</v>
      </c>
      <c r="B712" s="1">
        <v>46133</v>
      </c>
      <c r="C712" t="s">
        <v>33</v>
      </c>
      <c r="D712" t="s">
        <v>8</v>
      </c>
      <c r="E712" s="1">
        <v>46134</v>
      </c>
      <c r="F712" s="1">
        <v>46135</v>
      </c>
      <c r="G712">
        <v>2475</v>
      </c>
      <c r="H712">
        <v>398.41</v>
      </c>
    </row>
    <row r="713" spans="1:8" customFormat="1" x14ac:dyDescent="0.35">
      <c r="A713" t="s">
        <v>752</v>
      </c>
      <c r="B713" s="1">
        <v>46134</v>
      </c>
      <c r="C713" t="s">
        <v>28</v>
      </c>
      <c r="D713" t="s">
        <v>4</v>
      </c>
      <c r="E713" s="1">
        <v>46135</v>
      </c>
      <c r="F713" s="1">
        <v>46134</v>
      </c>
      <c r="G713">
        <v>2419</v>
      </c>
      <c r="H713">
        <v>397.66</v>
      </c>
    </row>
    <row r="714" spans="1:8" customFormat="1" x14ac:dyDescent="0.35">
      <c r="A714" t="s">
        <v>753</v>
      </c>
      <c r="B714" s="1">
        <v>46134</v>
      </c>
      <c r="C714" t="s">
        <v>22</v>
      </c>
      <c r="D714" t="s">
        <v>4</v>
      </c>
      <c r="E714" s="1">
        <v>46135</v>
      </c>
      <c r="F714" s="1">
        <v>46135</v>
      </c>
      <c r="G714">
        <v>994</v>
      </c>
      <c r="H714">
        <v>185.96</v>
      </c>
    </row>
    <row r="715" spans="1:8" customFormat="1" x14ac:dyDescent="0.35">
      <c r="A715" t="s">
        <v>754</v>
      </c>
      <c r="B715" s="1">
        <v>46134</v>
      </c>
      <c r="C715" t="s">
        <v>25</v>
      </c>
      <c r="D715" t="s">
        <v>6</v>
      </c>
      <c r="E715" s="1">
        <v>46135</v>
      </c>
      <c r="F715" s="1">
        <v>46134</v>
      </c>
      <c r="G715">
        <v>2069</v>
      </c>
      <c r="H715">
        <v>345.76</v>
      </c>
    </row>
    <row r="716" spans="1:8" customFormat="1" x14ac:dyDescent="0.35">
      <c r="A716" t="s">
        <v>755</v>
      </c>
      <c r="B716" s="1">
        <v>46134</v>
      </c>
      <c r="C716" t="s">
        <v>19</v>
      </c>
      <c r="D716" t="s">
        <v>10</v>
      </c>
      <c r="E716" s="1">
        <v>46135</v>
      </c>
      <c r="F716" s="1">
        <v>46135</v>
      </c>
      <c r="G716">
        <v>1282</v>
      </c>
      <c r="H716">
        <v>210.46</v>
      </c>
    </row>
    <row r="717" spans="1:8" customFormat="1" x14ac:dyDescent="0.35">
      <c r="A717" t="s">
        <v>756</v>
      </c>
      <c r="B717" s="1">
        <v>46134</v>
      </c>
      <c r="C717" t="s">
        <v>31</v>
      </c>
      <c r="D717" t="s">
        <v>12</v>
      </c>
      <c r="E717" s="1">
        <v>46135</v>
      </c>
      <c r="F717" s="1">
        <v>46137</v>
      </c>
      <c r="G717">
        <v>718</v>
      </c>
      <c r="H717">
        <v>145.84</v>
      </c>
    </row>
    <row r="718" spans="1:8" customFormat="1" x14ac:dyDescent="0.35">
      <c r="A718" t="s">
        <v>757</v>
      </c>
      <c r="B718" s="1">
        <v>46134</v>
      </c>
      <c r="C718" t="s">
        <v>25</v>
      </c>
      <c r="D718" t="s">
        <v>4</v>
      </c>
      <c r="E718" s="1">
        <v>46135</v>
      </c>
      <c r="F718" s="1">
        <v>46137</v>
      </c>
      <c r="G718">
        <v>1662</v>
      </c>
      <c r="H718">
        <v>277.83</v>
      </c>
    </row>
    <row r="719" spans="1:8" customFormat="1" x14ac:dyDescent="0.35">
      <c r="A719" t="s">
        <v>758</v>
      </c>
      <c r="B719" s="1">
        <v>46134</v>
      </c>
      <c r="C719" t="s">
        <v>22</v>
      </c>
      <c r="D719" t="s">
        <v>4</v>
      </c>
      <c r="E719" s="1">
        <v>46136</v>
      </c>
      <c r="F719" s="1">
        <v>46136</v>
      </c>
      <c r="G719">
        <v>114</v>
      </c>
      <c r="H719">
        <v>53.43</v>
      </c>
    </row>
    <row r="720" spans="1:8" customFormat="1" x14ac:dyDescent="0.35">
      <c r="A720" t="s">
        <v>759</v>
      </c>
      <c r="B720" s="1">
        <v>46134</v>
      </c>
      <c r="C720" t="s">
        <v>25</v>
      </c>
      <c r="D720" t="s">
        <v>12</v>
      </c>
      <c r="E720" s="1">
        <v>46136</v>
      </c>
      <c r="F720" s="1">
        <v>46135</v>
      </c>
      <c r="G720">
        <v>798</v>
      </c>
      <c r="H720">
        <v>148.4</v>
      </c>
    </row>
    <row r="721" spans="1:8" customFormat="1" x14ac:dyDescent="0.35">
      <c r="A721" t="s">
        <v>760</v>
      </c>
      <c r="B721" s="1">
        <v>46135</v>
      </c>
      <c r="C721" t="s">
        <v>25</v>
      </c>
      <c r="D721" t="s">
        <v>4</v>
      </c>
      <c r="E721" s="1">
        <v>46137</v>
      </c>
      <c r="F721" s="1">
        <v>46137</v>
      </c>
      <c r="G721">
        <v>1134</v>
      </c>
      <c r="H721">
        <v>198.48</v>
      </c>
    </row>
    <row r="722" spans="1:8" customFormat="1" x14ac:dyDescent="0.35">
      <c r="A722" t="s">
        <v>761</v>
      </c>
      <c r="B722" s="1">
        <v>46135</v>
      </c>
      <c r="C722" t="s">
        <v>25</v>
      </c>
      <c r="D722" t="s">
        <v>8</v>
      </c>
      <c r="E722" s="1">
        <v>46137</v>
      </c>
      <c r="F722" s="1">
        <v>46137</v>
      </c>
      <c r="G722">
        <v>677</v>
      </c>
      <c r="H722">
        <v>119.49</v>
      </c>
    </row>
    <row r="723" spans="1:8" customFormat="1" x14ac:dyDescent="0.35">
      <c r="A723" t="s">
        <v>762</v>
      </c>
      <c r="B723" s="1">
        <v>46136</v>
      </c>
      <c r="C723" t="s">
        <v>19</v>
      </c>
      <c r="D723" t="s">
        <v>12</v>
      </c>
      <c r="E723" s="1">
        <v>46137</v>
      </c>
      <c r="F723" s="1">
        <v>46137</v>
      </c>
      <c r="G723">
        <v>386</v>
      </c>
      <c r="H723">
        <v>87.04</v>
      </c>
    </row>
    <row r="724" spans="1:8" customFormat="1" x14ac:dyDescent="0.35">
      <c r="A724" t="s">
        <v>763</v>
      </c>
      <c r="B724" s="1">
        <v>46136</v>
      </c>
      <c r="C724" t="s">
        <v>33</v>
      </c>
      <c r="D724" t="s">
        <v>12</v>
      </c>
      <c r="E724" s="1">
        <v>46137</v>
      </c>
      <c r="F724" s="1">
        <v>46137</v>
      </c>
      <c r="G724">
        <v>1756</v>
      </c>
      <c r="H724">
        <v>301.86</v>
      </c>
    </row>
    <row r="725" spans="1:8" customFormat="1" x14ac:dyDescent="0.35">
      <c r="A725" t="s">
        <v>764</v>
      </c>
      <c r="B725" s="1">
        <v>46136</v>
      </c>
      <c r="C725" t="s">
        <v>33</v>
      </c>
      <c r="D725" t="s">
        <v>8</v>
      </c>
      <c r="E725" s="1">
        <v>46138</v>
      </c>
      <c r="F725" s="1">
        <v>46138</v>
      </c>
      <c r="G725">
        <v>1346</v>
      </c>
      <c r="H725">
        <v>225.59</v>
      </c>
    </row>
    <row r="726" spans="1:8" customFormat="1" x14ac:dyDescent="0.35">
      <c r="A726" t="s">
        <v>765</v>
      </c>
      <c r="B726" s="1">
        <v>46137</v>
      </c>
      <c r="C726" t="s">
        <v>31</v>
      </c>
      <c r="D726" t="s">
        <v>10</v>
      </c>
      <c r="E726" s="1">
        <v>46138</v>
      </c>
      <c r="F726" s="1">
        <v>46137</v>
      </c>
      <c r="G726">
        <v>2466</v>
      </c>
      <c r="H726">
        <v>383.74</v>
      </c>
    </row>
    <row r="727" spans="1:8" customFormat="1" x14ac:dyDescent="0.35">
      <c r="A727" t="s">
        <v>766</v>
      </c>
      <c r="B727" s="1">
        <v>46137</v>
      </c>
      <c r="C727" t="s">
        <v>19</v>
      </c>
      <c r="D727" t="s">
        <v>4</v>
      </c>
      <c r="E727" s="1">
        <v>46139</v>
      </c>
      <c r="F727" s="1">
        <v>46139</v>
      </c>
      <c r="G727">
        <v>2444</v>
      </c>
      <c r="H727">
        <v>406.18</v>
      </c>
    </row>
    <row r="728" spans="1:8" customFormat="1" x14ac:dyDescent="0.35">
      <c r="A728" t="s">
        <v>767</v>
      </c>
      <c r="B728" s="1">
        <v>46137</v>
      </c>
      <c r="C728" t="s">
        <v>28</v>
      </c>
      <c r="D728" t="s">
        <v>6</v>
      </c>
      <c r="E728" s="1">
        <v>46139</v>
      </c>
      <c r="F728" s="1">
        <v>46138</v>
      </c>
      <c r="G728">
        <v>1763</v>
      </c>
      <c r="H728">
        <v>297.24</v>
      </c>
    </row>
    <row r="729" spans="1:8" customFormat="1" x14ac:dyDescent="0.35">
      <c r="A729" t="s">
        <v>768</v>
      </c>
      <c r="B729" s="1">
        <v>46137</v>
      </c>
      <c r="C729" t="s">
        <v>33</v>
      </c>
      <c r="D729" t="s">
        <v>4</v>
      </c>
      <c r="E729" s="1">
        <v>46138</v>
      </c>
      <c r="F729" s="1">
        <v>46139</v>
      </c>
      <c r="G729">
        <v>2428</v>
      </c>
      <c r="H729">
        <v>405.36</v>
      </c>
    </row>
    <row r="730" spans="1:8" customFormat="1" x14ac:dyDescent="0.35">
      <c r="A730" t="s">
        <v>769</v>
      </c>
      <c r="B730" s="1">
        <v>46137</v>
      </c>
      <c r="C730" t="s">
        <v>28</v>
      </c>
      <c r="D730" t="s">
        <v>8</v>
      </c>
      <c r="E730" s="1">
        <v>46138</v>
      </c>
      <c r="F730" s="1">
        <v>46138</v>
      </c>
      <c r="G730">
        <v>2112</v>
      </c>
      <c r="H730">
        <v>334.81</v>
      </c>
    </row>
    <row r="731" spans="1:8" customFormat="1" x14ac:dyDescent="0.35">
      <c r="A731" t="s">
        <v>770</v>
      </c>
      <c r="B731" s="1">
        <v>46138</v>
      </c>
      <c r="C731" t="s">
        <v>31</v>
      </c>
      <c r="D731" t="s">
        <v>8</v>
      </c>
      <c r="E731" s="1">
        <v>46139</v>
      </c>
      <c r="F731" s="1">
        <v>46138</v>
      </c>
      <c r="G731">
        <v>1488</v>
      </c>
      <c r="H731">
        <v>242.29</v>
      </c>
    </row>
    <row r="732" spans="1:8" customFormat="1" x14ac:dyDescent="0.35">
      <c r="A732" t="s">
        <v>771</v>
      </c>
      <c r="B732" s="1">
        <v>46138</v>
      </c>
      <c r="C732" t="s">
        <v>22</v>
      </c>
      <c r="D732" t="s">
        <v>6</v>
      </c>
      <c r="E732" s="1">
        <v>46139</v>
      </c>
      <c r="F732" s="1">
        <v>46138</v>
      </c>
      <c r="G732">
        <v>1461</v>
      </c>
      <c r="H732">
        <v>244.91</v>
      </c>
    </row>
    <row r="733" spans="1:8" customFormat="1" x14ac:dyDescent="0.35">
      <c r="A733" t="s">
        <v>772</v>
      </c>
      <c r="B733" s="1">
        <v>46138</v>
      </c>
      <c r="C733" t="s">
        <v>31</v>
      </c>
      <c r="D733" t="s">
        <v>4</v>
      </c>
      <c r="E733" s="1">
        <v>46139</v>
      </c>
      <c r="F733" s="1">
        <v>46139</v>
      </c>
      <c r="G733">
        <v>246</v>
      </c>
      <c r="H733">
        <v>67.14</v>
      </c>
    </row>
    <row r="734" spans="1:8" customFormat="1" x14ac:dyDescent="0.35">
      <c r="A734" t="s">
        <v>773</v>
      </c>
      <c r="B734" s="1">
        <v>46138</v>
      </c>
      <c r="C734" t="s">
        <v>22</v>
      </c>
      <c r="D734" t="s">
        <v>6</v>
      </c>
      <c r="E734" s="1">
        <v>46139</v>
      </c>
      <c r="F734" s="1">
        <v>46141</v>
      </c>
      <c r="G734">
        <v>2176</v>
      </c>
      <c r="H734">
        <v>362.96</v>
      </c>
    </row>
    <row r="735" spans="1:8" customFormat="1" x14ac:dyDescent="0.35">
      <c r="A735" t="s">
        <v>774</v>
      </c>
      <c r="B735" s="1">
        <v>46139</v>
      </c>
      <c r="C735" t="s">
        <v>25</v>
      </c>
      <c r="D735" t="s">
        <v>4</v>
      </c>
      <c r="E735" s="1">
        <v>46141</v>
      </c>
      <c r="F735" s="1">
        <v>46141</v>
      </c>
      <c r="G735">
        <v>2410</v>
      </c>
      <c r="H735">
        <v>389.52</v>
      </c>
    </row>
    <row r="736" spans="1:8" customFormat="1" x14ac:dyDescent="0.35">
      <c r="A736" t="s">
        <v>775</v>
      </c>
      <c r="B736" s="1">
        <v>46140</v>
      </c>
      <c r="C736" t="s">
        <v>22</v>
      </c>
      <c r="D736" t="s">
        <v>6</v>
      </c>
      <c r="E736" s="1">
        <v>46142</v>
      </c>
      <c r="F736" s="1">
        <v>46142</v>
      </c>
      <c r="G736">
        <v>27</v>
      </c>
      <c r="H736">
        <v>40.4</v>
      </c>
    </row>
    <row r="737" spans="1:8" customFormat="1" x14ac:dyDescent="0.35">
      <c r="A737" t="s">
        <v>776</v>
      </c>
      <c r="B737" s="1">
        <v>46141</v>
      </c>
      <c r="C737" t="s">
        <v>22</v>
      </c>
      <c r="D737" t="s">
        <v>10</v>
      </c>
      <c r="E737" s="1">
        <v>46143</v>
      </c>
      <c r="F737" s="1">
        <v>46143</v>
      </c>
      <c r="G737">
        <v>1869</v>
      </c>
      <c r="H737">
        <v>293.61</v>
      </c>
    </row>
    <row r="738" spans="1:8" customFormat="1" x14ac:dyDescent="0.35">
      <c r="A738" t="s">
        <v>777</v>
      </c>
      <c r="B738" s="1">
        <v>46141</v>
      </c>
      <c r="C738" t="s">
        <v>19</v>
      </c>
      <c r="D738" t="s">
        <v>12</v>
      </c>
      <c r="E738" s="1">
        <v>46143</v>
      </c>
      <c r="F738" s="1">
        <v>46143</v>
      </c>
      <c r="G738">
        <v>2088</v>
      </c>
      <c r="H738">
        <v>340.39</v>
      </c>
    </row>
    <row r="739" spans="1:8" customFormat="1" x14ac:dyDescent="0.35">
      <c r="A739" t="s">
        <v>778</v>
      </c>
      <c r="B739" s="1">
        <v>46141</v>
      </c>
      <c r="C739" t="s">
        <v>28</v>
      </c>
      <c r="D739" t="s">
        <v>10</v>
      </c>
      <c r="E739" s="1">
        <v>46142</v>
      </c>
      <c r="F739" s="1">
        <v>46141</v>
      </c>
      <c r="G739">
        <v>2297</v>
      </c>
      <c r="H739">
        <v>369.1</v>
      </c>
    </row>
    <row r="740" spans="1:8" customFormat="1" x14ac:dyDescent="0.35">
      <c r="A740" t="s">
        <v>779</v>
      </c>
      <c r="B740" s="1">
        <v>46142</v>
      </c>
      <c r="C740" t="s">
        <v>31</v>
      </c>
      <c r="D740" t="s">
        <v>4</v>
      </c>
      <c r="E740" s="1">
        <v>46143</v>
      </c>
      <c r="F740" s="1">
        <v>46142</v>
      </c>
      <c r="G740">
        <v>2481</v>
      </c>
      <c r="H740">
        <v>406.74</v>
      </c>
    </row>
    <row r="741" spans="1:8" customFormat="1" x14ac:dyDescent="0.35">
      <c r="A741" t="s">
        <v>780</v>
      </c>
      <c r="B741" s="1">
        <v>46142</v>
      </c>
      <c r="C741" t="s">
        <v>22</v>
      </c>
      <c r="D741" t="s">
        <v>10</v>
      </c>
      <c r="E741" s="1">
        <v>46144</v>
      </c>
      <c r="F741" s="1">
        <v>46143</v>
      </c>
      <c r="G741">
        <v>1790</v>
      </c>
      <c r="H741">
        <v>281.93</v>
      </c>
    </row>
    <row r="742" spans="1:8" customFormat="1" x14ac:dyDescent="0.35">
      <c r="A742" t="s">
        <v>781</v>
      </c>
      <c r="B742" s="1">
        <v>46144</v>
      </c>
      <c r="C742" t="s">
        <v>22</v>
      </c>
      <c r="D742" t="s">
        <v>8</v>
      </c>
      <c r="E742" s="1">
        <v>46146</v>
      </c>
      <c r="F742" s="1">
        <v>46145</v>
      </c>
      <c r="G742">
        <v>2014</v>
      </c>
      <c r="H742">
        <v>326.42</v>
      </c>
    </row>
    <row r="743" spans="1:8" customFormat="1" x14ac:dyDescent="0.35">
      <c r="A743" t="s">
        <v>782</v>
      </c>
      <c r="B743" s="1">
        <v>46144</v>
      </c>
      <c r="C743" t="s">
        <v>33</v>
      </c>
      <c r="D743" t="s">
        <v>10</v>
      </c>
      <c r="E743" s="1">
        <v>46145</v>
      </c>
      <c r="F743" s="1">
        <v>46144</v>
      </c>
      <c r="G743">
        <v>152</v>
      </c>
      <c r="H743">
        <v>43.58</v>
      </c>
    </row>
    <row r="744" spans="1:8" customFormat="1" x14ac:dyDescent="0.35">
      <c r="A744" t="s">
        <v>783</v>
      </c>
      <c r="B744" s="1">
        <v>46144</v>
      </c>
      <c r="C744" t="s">
        <v>22</v>
      </c>
      <c r="D744" t="s">
        <v>8</v>
      </c>
      <c r="E744" s="1">
        <v>46146</v>
      </c>
      <c r="F744" s="1">
        <v>46150</v>
      </c>
      <c r="G744">
        <v>1656</v>
      </c>
      <c r="H744">
        <v>276.87</v>
      </c>
    </row>
    <row r="745" spans="1:8" customFormat="1" x14ac:dyDescent="0.35">
      <c r="A745" t="s">
        <v>784</v>
      </c>
      <c r="B745" s="1">
        <v>46146</v>
      </c>
      <c r="C745" t="s">
        <v>33</v>
      </c>
      <c r="D745" t="s">
        <v>6</v>
      </c>
      <c r="E745" s="1">
        <v>46148</v>
      </c>
      <c r="F745" s="1">
        <v>46148</v>
      </c>
      <c r="G745">
        <v>1539</v>
      </c>
      <c r="H745">
        <v>259.17</v>
      </c>
    </row>
    <row r="746" spans="1:8" customFormat="1" x14ac:dyDescent="0.35">
      <c r="A746" t="s">
        <v>785</v>
      </c>
      <c r="B746" s="1">
        <v>46146</v>
      </c>
      <c r="C746" t="s">
        <v>19</v>
      </c>
      <c r="D746" t="s">
        <v>6</v>
      </c>
      <c r="E746" s="1">
        <v>46147</v>
      </c>
      <c r="F746" s="1">
        <v>46147</v>
      </c>
      <c r="G746">
        <v>886</v>
      </c>
      <c r="H746">
        <v>155.61000000000001</v>
      </c>
    </row>
    <row r="747" spans="1:8" customFormat="1" x14ac:dyDescent="0.35">
      <c r="A747" t="s">
        <v>786</v>
      </c>
      <c r="B747" s="1">
        <v>46146</v>
      </c>
      <c r="C747" t="s">
        <v>25</v>
      </c>
      <c r="D747" t="s">
        <v>8</v>
      </c>
      <c r="E747" s="1">
        <v>46148</v>
      </c>
      <c r="F747" s="1">
        <v>46147</v>
      </c>
      <c r="G747">
        <v>2351</v>
      </c>
      <c r="H747">
        <v>377.29</v>
      </c>
    </row>
    <row r="748" spans="1:8" customFormat="1" x14ac:dyDescent="0.35">
      <c r="A748" t="s">
        <v>787</v>
      </c>
      <c r="B748" s="1">
        <v>46146</v>
      </c>
      <c r="C748" t="s">
        <v>28</v>
      </c>
      <c r="D748" t="s">
        <v>6</v>
      </c>
      <c r="E748" s="1">
        <v>46148</v>
      </c>
      <c r="F748" s="1">
        <v>46148</v>
      </c>
      <c r="G748">
        <v>2425</v>
      </c>
      <c r="H748">
        <v>396.5</v>
      </c>
    </row>
    <row r="749" spans="1:8" customFormat="1" x14ac:dyDescent="0.35">
      <c r="A749" t="s">
        <v>788</v>
      </c>
      <c r="B749" s="1">
        <v>46146</v>
      </c>
      <c r="C749" t="s">
        <v>31</v>
      </c>
      <c r="D749" t="s">
        <v>8</v>
      </c>
      <c r="E749" s="1">
        <v>46147</v>
      </c>
      <c r="F749" s="1">
        <v>46147</v>
      </c>
      <c r="G749">
        <v>54</v>
      </c>
      <c r="H749">
        <v>31.53</v>
      </c>
    </row>
    <row r="750" spans="1:8" customFormat="1" x14ac:dyDescent="0.35">
      <c r="A750" t="s">
        <v>789</v>
      </c>
      <c r="B750" s="1">
        <v>46146</v>
      </c>
      <c r="C750" t="s">
        <v>25</v>
      </c>
      <c r="D750" t="s">
        <v>6</v>
      </c>
      <c r="E750" s="1">
        <v>46147</v>
      </c>
      <c r="F750" s="1">
        <v>46146</v>
      </c>
      <c r="G750">
        <v>1405</v>
      </c>
      <c r="H750">
        <v>243.86</v>
      </c>
    </row>
    <row r="751" spans="1:8" customFormat="1" x14ac:dyDescent="0.35">
      <c r="A751" t="s">
        <v>790</v>
      </c>
      <c r="B751" s="1">
        <v>46147</v>
      </c>
      <c r="C751" t="s">
        <v>19</v>
      </c>
      <c r="D751" t="s">
        <v>4</v>
      </c>
      <c r="E751" s="1">
        <v>46149</v>
      </c>
      <c r="F751" s="1">
        <v>46150</v>
      </c>
      <c r="G751">
        <v>564</v>
      </c>
      <c r="H751">
        <v>122.59</v>
      </c>
    </row>
    <row r="752" spans="1:8" customFormat="1" x14ac:dyDescent="0.35">
      <c r="A752" t="s">
        <v>791</v>
      </c>
      <c r="B752" s="1">
        <v>46147</v>
      </c>
      <c r="C752" t="s">
        <v>28</v>
      </c>
      <c r="D752" t="s">
        <v>12</v>
      </c>
      <c r="E752" s="1">
        <v>46148</v>
      </c>
      <c r="F752" s="1">
        <v>46148</v>
      </c>
      <c r="G752">
        <v>2150</v>
      </c>
      <c r="H752">
        <v>352.68</v>
      </c>
    </row>
    <row r="753" spans="1:8" customFormat="1" x14ac:dyDescent="0.35">
      <c r="A753" t="s">
        <v>792</v>
      </c>
      <c r="B753" s="1">
        <v>46148</v>
      </c>
      <c r="C753" t="s">
        <v>28</v>
      </c>
      <c r="D753" t="s">
        <v>8</v>
      </c>
      <c r="E753" s="1">
        <v>46149</v>
      </c>
      <c r="F753" s="1">
        <v>46148</v>
      </c>
      <c r="G753">
        <v>1472</v>
      </c>
      <c r="H753">
        <v>250.13</v>
      </c>
    </row>
    <row r="754" spans="1:8" customFormat="1" x14ac:dyDescent="0.35">
      <c r="A754" t="s">
        <v>793</v>
      </c>
      <c r="B754" s="1">
        <v>46148</v>
      </c>
      <c r="C754" t="s">
        <v>28</v>
      </c>
      <c r="D754" t="s">
        <v>12</v>
      </c>
      <c r="E754" s="1">
        <v>46150</v>
      </c>
      <c r="F754" s="1">
        <v>46149</v>
      </c>
      <c r="G754">
        <v>1427</v>
      </c>
      <c r="H754">
        <v>240.28</v>
      </c>
    </row>
    <row r="755" spans="1:8" customFormat="1" x14ac:dyDescent="0.35">
      <c r="A755" t="s">
        <v>794</v>
      </c>
      <c r="B755" s="1">
        <v>46149</v>
      </c>
      <c r="C755" t="s">
        <v>19</v>
      </c>
      <c r="D755" t="s">
        <v>12</v>
      </c>
      <c r="E755" s="1">
        <v>46151</v>
      </c>
      <c r="F755" s="1">
        <v>46152</v>
      </c>
      <c r="G755">
        <v>962</v>
      </c>
      <c r="H755">
        <v>175.78</v>
      </c>
    </row>
    <row r="756" spans="1:8" customFormat="1" x14ac:dyDescent="0.35">
      <c r="A756" t="s">
        <v>795</v>
      </c>
      <c r="B756" s="1">
        <v>46149</v>
      </c>
      <c r="C756" t="s">
        <v>25</v>
      </c>
      <c r="D756" t="s">
        <v>6</v>
      </c>
      <c r="E756" s="1">
        <v>46151</v>
      </c>
      <c r="F756" s="1">
        <v>46151</v>
      </c>
      <c r="G756">
        <v>1538</v>
      </c>
      <c r="H756">
        <v>266.81</v>
      </c>
    </row>
    <row r="757" spans="1:8" customFormat="1" x14ac:dyDescent="0.35">
      <c r="A757" t="s">
        <v>796</v>
      </c>
      <c r="B757" s="1">
        <v>46149</v>
      </c>
      <c r="C757" t="s">
        <v>31</v>
      </c>
      <c r="D757" t="s">
        <v>8</v>
      </c>
      <c r="E757" s="1">
        <v>46151</v>
      </c>
      <c r="F757" s="1">
        <v>46151</v>
      </c>
      <c r="G757">
        <v>85</v>
      </c>
      <c r="H757">
        <v>34.799999999999997</v>
      </c>
    </row>
    <row r="758" spans="1:8" customFormat="1" x14ac:dyDescent="0.35">
      <c r="A758" t="s">
        <v>797</v>
      </c>
      <c r="B758" s="1">
        <v>46149</v>
      </c>
      <c r="C758" t="s">
        <v>31</v>
      </c>
      <c r="D758" t="s">
        <v>8</v>
      </c>
      <c r="E758" s="1">
        <v>46150</v>
      </c>
      <c r="F758" s="1">
        <v>46150</v>
      </c>
      <c r="G758">
        <v>1519</v>
      </c>
      <c r="H758">
        <v>245.95</v>
      </c>
    </row>
    <row r="759" spans="1:8" customFormat="1" x14ac:dyDescent="0.35">
      <c r="A759" t="s">
        <v>798</v>
      </c>
      <c r="B759" s="1">
        <v>46150</v>
      </c>
      <c r="C759" t="s">
        <v>25</v>
      </c>
      <c r="D759" t="s">
        <v>10</v>
      </c>
      <c r="E759" s="1">
        <v>46151</v>
      </c>
      <c r="F759" s="1">
        <v>46151</v>
      </c>
      <c r="G759">
        <v>48</v>
      </c>
      <c r="H759">
        <v>24.97</v>
      </c>
    </row>
    <row r="760" spans="1:8" customFormat="1" x14ac:dyDescent="0.35">
      <c r="A760" t="s">
        <v>799</v>
      </c>
      <c r="B760" s="1">
        <v>46150</v>
      </c>
      <c r="C760" t="s">
        <v>19</v>
      </c>
      <c r="D760" t="s">
        <v>8</v>
      </c>
      <c r="E760" s="1">
        <v>46151</v>
      </c>
      <c r="F760" s="1">
        <v>46151</v>
      </c>
      <c r="G760">
        <v>1418</v>
      </c>
      <c r="H760">
        <v>232.28</v>
      </c>
    </row>
    <row r="761" spans="1:8" customFormat="1" x14ac:dyDescent="0.35">
      <c r="A761" t="s">
        <v>800</v>
      </c>
      <c r="B761" s="1">
        <v>46150</v>
      </c>
      <c r="C761" t="s">
        <v>22</v>
      </c>
      <c r="D761" t="s">
        <v>4</v>
      </c>
      <c r="E761" s="1">
        <v>46151</v>
      </c>
      <c r="F761" s="1">
        <v>46150</v>
      </c>
      <c r="G761">
        <v>1924</v>
      </c>
      <c r="H761">
        <v>319.12</v>
      </c>
    </row>
    <row r="762" spans="1:8" customFormat="1" x14ac:dyDescent="0.35">
      <c r="A762" t="s">
        <v>801</v>
      </c>
      <c r="B762" s="1">
        <v>46150</v>
      </c>
      <c r="C762" t="s">
        <v>31</v>
      </c>
      <c r="D762" t="s">
        <v>10</v>
      </c>
      <c r="E762" s="1">
        <v>46151</v>
      </c>
      <c r="F762" s="1">
        <v>46150</v>
      </c>
      <c r="G762">
        <v>1643</v>
      </c>
      <c r="H762">
        <v>261.04000000000002</v>
      </c>
    </row>
    <row r="763" spans="1:8" customFormat="1" x14ac:dyDescent="0.35">
      <c r="A763" t="s">
        <v>802</v>
      </c>
      <c r="B763" s="1">
        <v>46151</v>
      </c>
      <c r="C763" t="s">
        <v>25</v>
      </c>
      <c r="D763" t="s">
        <v>8</v>
      </c>
      <c r="E763" s="1">
        <v>46153</v>
      </c>
      <c r="F763" s="1">
        <v>46152</v>
      </c>
      <c r="G763">
        <v>504</v>
      </c>
      <c r="H763">
        <v>102.82</v>
      </c>
    </row>
    <row r="764" spans="1:8" customFormat="1" x14ac:dyDescent="0.35">
      <c r="A764" t="s">
        <v>803</v>
      </c>
      <c r="B764" s="1">
        <v>46151</v>
      </c>
      <c r="C764" t="s">
        <v>25</v>
      </c>
      <c r="D764" t="s">
        <v>12</v>
      </c>
      <c r="E764" s="1">
        <v>46152</v>
      </c>
      <c r="F764" s="1">
        <v>46153</v>
      </c>
      <c r="G764">
        <v>1538</v>
      </c>
      <c r="H764">
        <v>266.52</v>
      </c>
    </row>
    <row r="765" spans="1:8" customFormat="1" x14ac:dyDescent="0.35">
      <c r="A765" t="s">
        <v>804</v>
      </c>
      <c r="B765" s="1">
        <v>46151</v>
      </c>
      <c r="C765" t="s">
        <v>19</v>
      </c>
      <c r="D765" t="s">
        <v>8</v>
      </c>
      <c r="E765" s="1">
        <v>46152</v>
      </c>
      <c r="F765" s="1">
        <v>46151</v>
      </c>
      <c r="G765">
        <v>2388</v>
      </c>
      <c r="H765">
        <v>381.91</v>
      </c>
    </row>
    <row r="766" spans="1:8" customFormat="1" x14ac:dyDescent="0.35">
      <c r="A766" t="s">
        <v>805</v>
      </c>
      <c r="B766" s="1">
        <v>46152</v>
      </c>
      <c r="C766" t="s">
        <v>31</v>
      </c>
      <c r="D766" t="s">
        <v>10</v>
      </c>
      <c r="E766" s="1">
        <v>46154</v>
      </c>
      <c r="F766" s="1">
        <v>46154</v>
      </c>
      <c r="G766">
        <v>988</v>
      </c>
      <c r="H766">
        <v>170.03</v>
      </c>
    </row>
    <row r="767" spans="1:8" customFormat="1" x14ac:dyDescent="0.35">
      <c r="A767" t="s">
        <v>806</v>
      </c>
      <c r="B767" s="1">
        <v>46152</v>
      </c>
      <c r="C767" t="s">
        <v>19</v>
      </c>
      <c r="D767" t="s">
        <v>8</v>
      </c>
      <c r="E767" s="1">
        <v>46153</v>
      </c>
      <c r="F767" s="1">
        <v>46153</v>
      </c>
      <c r="G767">
        <v>1836</v>
      </c>
      <c r="H767">
        <v>297.16000000000003</v>
      </c>
    </row>
    <row r="768" spans="1:8" customFormat="1" x14ac:dyDescent="0.35">
      <c r="A768" t="s">
        <v>807</v>
      </c>
      <c r="B768" s="1">
        <v>46153</v>
      </c>
      <c r="C768" t="s">
        <v>19</v>
      </c>
      <c r="D768" t="s">
        <v>4</v>
      </c>
      <c r="E768" s="1">
        <v>46155</v>
      </c>
      <c r="F768" s="1">
        <v>46154</v>
      </c>
      <c r="G768">
        <v>1212</v>
      </c>
      <c r="H768">
        <v>214.82</v>
      </c>
    </row>
    <row r="769" spans="1:8" customFormat="1" x14ac:dyDescent="0.35">
      <c r="A769" t="s">
        <v>808</v>
      </c>
      <c r="B769" s="1">
        <v>46153</v>
      </c>
      <c r="C769" t="s">
        <v>28</v>
      </c>
      <c r="D769" t="s">
        <v>4</v>
      </c>
      <c r="E769" s="1">
        <v>46155</v>
      </c>
      <c r="F769" s="1">
        <v>46155</v>
      </c>
      <c r="G769">
        <v>1254</v>
      </c>
      <c r="H769">
        <v>225.69</v>
      </c>
    </row>
    <row r="770" spans="1:8" customFormat="1" x14ac:dyDescent="0.35">
      <c r="A770" t="s">
        <v>809</v>
      </c>
      <c r="B770" s="1">
        <v>46153</v>
      </c>
      <c r="C770" t="s">
        <v>19</v>
      </c>
      <c r="D770" t="s">
        <v>8</v>
      </c>
      <c r="E770" s="1">
        <v>46155</v>
      </c>
      <c r="F770" s="1">
        <v>46154</v>
      </c>
      <c r="G770">
        <v>1430</v>
      </c>
      <c r="H770">
        <v>237.62</v>
      </c>
    </row>
    <row r="771" spans="1:8" customFormat="1" x14ac:dyDescent="0.35">
      <c r="A771" t="s">
        <v>810</v>
      </c>
      <c r="B771" s="1">
        <v>46154</v>
      </c>
      <c r="C771" t="s">
        <v>28</v>
      </c>
      <c r="D771" t="s">
        <v>12</v>
      </c>
      <c r="E771" s="1">
        <v>46156</v>
      </c>
      <c r="F771" s="1">
        <v>46156</v>
      </c>
      <c r="G771">
        <v>60</v>
      </c>
      <c r="H771">
        <v>44.7</v>
      </c>
    </row>
    <row r="772" spans="1:8" customFormat="1" x14ac:dyDescent="0.35">
      <c r="A772" t="s">
        <v>811</v>
      </c>
      <c r="B772" s="1">
        <v>46154</v>
      </c>
      <c r="C772" t="s">
        <v>25</v>
      </c>
      <c r="D772" t="s">
        <v>6</v>
      </c>
      <c r="E772" s="1">
        <v>46155</v>
      </c>
      <c r="F772" s="1">
        <v>46154</v>
      </c>
      <c r="G772">
        <v>1363</v>
      </c>
      <c r="H772">
        <v>233.19</v>
      </c>
    </row>
    <row r="773" spans="1:8" customFormat="1" x14ac:dyDescent="0.35">
      <c r="A773" t="s">
        <v>812</v>
      </c>
      <c r="B773" s="1">
        <v>46154</v>
      </c>
      <c r="C773" t="s">
        <v>28</v>
      </c>
      <c r="D773" t="s">
        <v>12</v>
      </c>
      <c r="E773" s="1">
        <v>46155</v>
      </c>
      <c r="F773" s="1">
        <v>46155</v>
      </c>
      <c r="G773">
        <v>1195</v>
      </c>
      <c r="H773">
        <v>211.46</v>
      </c>
    </row>
    <row r="774" spans="1:8" customFormat="1" x14ac:dyDescent="0.35">
      <c r="A774" t="s">
        <v>813</v>
      </c>
      <c r="B774" s="1">
        <v>46155</v>
      </c>
      <c r="C774" t="s">
        <v>33</v>
      </c>
      <c r="D774" t="s">
        <v>4</v>
      </c>
      <c r="E774" s="1">
        <v>46156</v>
      </c>
      <c r="F774" s="1">
        <v>46155</v>
      </c>
      <c r="G774">
        <v>1171</v>
      </c>
      <c r="H774">
        <v>209</v>
      </c>
    </row>
    <row r="775" spans="1:8" customFormat="1" x14ac:dyDescent="0.35">
      <c r="A775" t="s">
        <v>814</v>
      </c>
      <c r="B775" s="1">
        <v>46155</v>
      </c>
      <c r="C775" t="s">
        <v>19</v>
      </c>
      <c r="D775" t="s">
        <v>4</v>
      </c>
      <c r="E775" s="1">
        <v>46157</v>
      </c>
      <c r="F775" s="1">
        <v>46157</v>
      </c>
      <c r="G775">
        <v>1461</v>
      </c>
      <c r="H775">
        <v>260.60000000000002</v>
      </c>
    </row>
    <row r="776" spans="1:8" customFormat="1" x14ac:dyDescent="0.35">
      <c r="A776" t="s">
        <v>815</v>
      </c>
      <c r="B776" s="1">
        <v>46156</v>
      </c>
      <c r="C776" t="s">
        <v>22</v>
      </c>
      <c r="D776" t="s">
        <v>8</v>
      </c>
      <c r="E776" s="1">
        <v>46157</v>
      </c>
      <c r="F776" s="1">
        <v>46156</v>
      </c>
      <c r="G776">
        <v>1267</v>
      </c>
      <c r="H776">
        <v>212.76</v>
      </c>
    </row>
    <row r="777" spans="1:8" customFormat="1" x14ac:dyDescent="0.35">
      <c r="A777" t="s">
        <v>816</v>
      </c>
      <c r="B777" s="1">
        <v>46156</v>
      </c>
      <c r="C777" t="s">
        <v>31</v>
      </c>
      <c r="D777" t="s">
        <v>10</v>
      </c>
      <c r="E777" s="1">
        <v>46158</v>
      </c>
      <c r="F777" s="1">
        <v>46158</v>
      </c>
      <c r="G777">
        <v>1640</v>
      </c>
      <c r="H777">
        <v>270.29000000000002</v>
      </c>
    </row>
    <row r="778" spans="1:8" customFormat="1" x14ac:dyDescent="0.35">
      <c r="A778" t="s">
        <v>817</v>
      </c>
      <c r="B778" s="1">
        <v>46156</v>
      </c>
      <c r="C778" t="s">
        <v>31</v>
      </c>
      <c r="D778" t="s">
        <v>4</v>
      </c>
      <c r="E778" s="1">
        <v>46157</v>
      </c>
      <c r="F778" s="1">
        <v>46157</v>
      </c>
      <c r="G778">
        <v>1120</v>
      </c>
      <c r="H778">
        <v>196.62</v>
      </c>
    </row>
    <row r="779" spans="1:8" customFormat="1" x14ac:dyDescent="0.35">
      <c r="A779" t="s">
        <v>818</v>
      </c>
      <c r="B779" s="1">
        <v>46157</v>
      </c>
      <c r="C779" t="s">
        <v>33</v>
      </c>
      <c r="D779" t="s">
        <v>4</v>
      </c>
      <c r="E779" s="1">
        <v>46158</v>
      </c>
      <c r="F779" s="1">
        <v>46158</v>
      </c>
      <c r="G779">
        <v>1008</v>
      </c>
      <c r="H779">
        <v>192.08</v>
      </c>
    </row>
    <row r="780" spans="1:8" customFormat="1" x14ac:dyDescent="0.35">
      <c r="A780" t="s">
        <v>819</v>
      </c>
      <c r="B780" s="1">
        <v>46157</v>
      </c>
      <c r="C780" t="s">
        <v>22</v>
      </c>
      <c r="D780" t="s">
        <v>12</v>
      </c>
      <c r="E780" s="1">
        <v>46158</v>
      </c>
      <c r="F780" s="1">
        <v>46158</v>
      </c>
      <c r="G780">
        <v>1557</v>
      </c>
      <c r="H780">
        <v>266.7</v>
      </c>
    </row>
    <row r="781" spans="1:8" customFormat="1" x14ac:dyDescent="0.35">
      <c r="A781" t="s">
        <v>820</v>
      </c>
      <c r="B781" s="1">
        <v>46158</v>
      </c>
      <c r="C781" t="s">
        <v>22</v>
      </c>
      <c r="D781" t="s">
        <v>12</v>
      </c>
      <c r="E781" s="1">
        <v>46159</v>
      </c>
      <c r="F781" s="1">
        <v>46159</v>
      </c>
      <c r="G781">
        <v>1900</v>
      </c>
      <c r="H781">
        <v>323.04000000000002</v>
      </c>
    </row>
    <row r="782" spans="1:8" customFormat="1" x14ac:dyDescent="0.35">
      <c r="A782" t="s">
        <v>821</v>
      </c>
      <c r="B782" s="1">
        <v>46158</v>
      </c>
      <c r="C782" t="s">
        <v>22</v>
      </c>
      <c r="D782" t="s">
        <v>10</v>
      </c>
      <c r="E782" s="1">
        <v>46160</v>
      </c>
      <c r="F782" s="1">
        <v>46159</v>
      </c>
      <c r="G782">
        <v>240</v>
      </c>
      <c r="H782">
        <v>52.74</v>
      </c>
    </row>
    <row r="783" spans="1:8" customFormat="1" x14ac:dyDescent="0.35">
      <c r="A783" t="s">
        <v>822</v>
      </c>
      <c r="B783" s="1">
        <v>46159</v>
      </c>
      <c r="C783" t="s">
        <v>19</v>
      </c>
      <c r="D783" t="s">
        <v>8</v>
      </c>
      <c r="E783" s="1">
        <v>46161</v>
      </c>
      <c r="F783" s="1">
        <v>46160</v>
      </c>
      <c r="G783">
        <v>1407</v>
      </c>
      <c r="H783">
        <v>227.64</v>
      </c>
    </row>
    <row r="784" spans="1:8" customFormat="1" x14ac:dyDescent="0.35">
      <c r="A784" t="s">
        <v>823</v>
      </c>
      <c r="B784" s="1">
        <v>46159</v>
      </c>
      <c r="C784" t="s">
        <v>33</v>
      </c>
      <c r="D784" t="s">
        <v>12</v>
      </c>
      <c r="E784" s="1">
        <v>46161</v>
      </c>
      <c r="F784" s="1">
        <v>46161</v>
      </c>
      <c r="G784">
        <v>628</v>
      </c>
      <c r="H784">
        <v>124.7</v>
      </c>
    </row>
    <row r="785" spans="1:8" customFormat="1" x14ac:dyDescent="0.35">
      <c r="A785" t="s">
        <v>824</v>
      </c>
      <c r="B785" s="1">
        <v>46159</v>
      </c>
      <c r="C785" t="s">
        <v>33</v>
      </c>
      <c r="D785" t="s">
        <v>10</v>
      </c>
      <c r="E785" s="1">
        <v>46160</v>
      </c>
      <c r="F785" s="1">
        <v>46159</v>
      </c>
      <c r="G785">
        <v>2234</v>
      </c>
      <c r="H785">
        <v>360.7</v>
      </c>
    </row>
    <row r="786" spans="1:8" customFormat="1" x14ac:dyDescent="0.35">
      <c r="A786" t="s">
        <v>825</v>
      </c>
      <c r="B786" s="1">
        <v>46159</v>
      </c>
      <c r="C786" t="s">
        <v>28</v>
      </c>
      <c r="D786" t="s">
        <v>8</v>
      </c>
      <c r="E786" s="1">
        <v>46160</v>
      </c>
      <c r="F786" s="1">
        <v>46162</v>
      </c>
      <c r="G786">
        <v>1892</v>
      </c>
      <c r="H786">
        <v>300.44</v>
      </c>
    </row>
    <row r="787" spans="1:8" customFormat="1" x14ac:dyDescent="0.35">
      <c r="A787" t="s">
        <v>826</v>
      </c>
      <c r="B787" s="1">
        <v>46159</v>
      </c>
      <c r="C787" t="s">
        <v>22</v>
      </c>
      <c r="D787" t="s">
        <v>8</v>
      </c>
      <c r="E787" s="1">
        <v>46160</v>
      </c>
      <c r="F787" s="1">
        <v>46160</v>
      </c>
      <c r="G787">
        <v>494</v>
      </c>
      <c r="H787">
        <v>93.26</v>
      </c>
    </row>
    <row r="788" spans="1:8" customFormat="1" x14ac:dyDescent="0.35">
      <c r="A788" t="s">
        <v>827</v>
      </c>
      <c r="B788" s="1">
        <v>46159</v>
      </c>
      <c r="C788" t="s">
        <v>33</v>
      </c>
      <c r="D788" t="s">
        <v>10</v>
      </c>
      <c r="E788" s="1">
        <v>46161</v>
      </c>
      <c r="F788" s="1">
        <v>46161</v>
      </c>
      <c r="G788">
        <v>174</v>
      </c>
      <c r="H788">
        <v>41.44</v>
      </c>
    </row>
    <row r="789" spans="1:8" customFormat="1" x14ac:dyDescent="0.35">
      <c r="A789" t="s">
        <v>828</v>
      </c>
      <c r="B789" s="1">
        <v>46160</v>
      </c>
      <c r="C789" t="s">
        <v>19</v>
      </c>
      <c r="D789" t="s">
        <v>10</v>
      </c>
      <c r="E789" s="1">
        <v>46161</v>
      </c>
      <c r="F789" s="1">
        <v>46160</v>
      </c>
      <c r="G789">
        <v>1300</v>
      </c>
      <c r="H789">
        <v>222.14</v>
      </c>
    </row>
    <row r="790" spans="1:8" customFormat="1" x14ac:dyDescent="0.35">
      <c r="A790" t="s">
        <v>829</v>
      </c>
      <c r="B790" s="1">
        <v>46160</v>
      </c>
      <c r="C790" t="s">
        <v>19</v>
      </c>
      <c r="D790" t="s">
        <v>6</v>
      </c>
      <c r="E790" s="1">
        <v>46162</v>
      </c>
      <c r="F790" s="1">
        <v>46162</v>
      </c>
      <c r="G790">
        <v>914</v>
      </c>
      <c r="H790">
        <v>168.44</v>
      </c>
    </row>
    <row r="791" spans="1:8" customFormat="1" x14ac:dyDescent="0.35">
      <c r="A791" t="s">
        <v>830</v>
      </c>
      <c r="B791" s="1">
        <v>46161</v>
      </c>
      <c r="C791" t="s">
        <v>22</v>
      </c>
      <c r="D791" t="s">
        <v>12</v>
      </c>
      <c r="E791" s="1">
        <v>46162</v>
      </c>
      <c r="F791" s="1">
        <v>46162</v>
      </c>
      <c r="G791">
        <v>2400</v>
      </c>
      <c r="H791">
        <v>392.38</v>
      </c>
    </row>
    <row r="792" spans="1:8" customFormat="1" x14ac:dyDescent="0.35">
      <c r="A792" t="s">
        <v>831</v>
      </c>
      <c r="B792" s="1">
        <v>46161</v>
      </c>
      <c r="C792" t="s">
        <v>22</v>
      </c>
      <c r="D792" t="s">
        <v>6</v>
      </c>
      <c r="E792" s="1">
        <v>46162</v>
      </c>
      <c r="F792" s="1">
        <v>46161</v>
      </c>
      <c r="G792">
        <v>237</v>
      </c>
      <c r="H792">
        <v>68.459999999999994</v>
      </c>
    </row>
    <row r="793" spans="1:8" customFormat="1" x14ac:dyDescent="0.35">
      <c r="A793" t="s">
        <v>832</v>
      </c>
      <c r="B793" s="1">
        <v>46162</v>
      </c>
      <c r="C793" t="s">
        <v>31</v>
      </c>
      <c r="D793" t="s">
        <v>10</v>
      </c>
      <c r="E793" s="1">
        <v>46163</v>
      </c>
      <c r="F793" s="1">
        <v>46163</v>
      </c>
      <c r="G793">
        <v>789</v>
      </c>
      <c r="H793">
        <v>133.01</v>
      </c>
    </row>
    <row r="794" spans="1:8" customFormat="1" x14ac:dyDescent="0.35">
      <c r="A794" t="s">
        <v>833</v>
      </c>
      <c r="B794" s="1">
        <v>46162</v>
      </c>
      <c r="C794" t="s">
        <v>33</v>
      </c>
      <c r="D794" t="s">
        <v>10</v>
      </c>
      <c r="E794" s="1">
        <v>46164</v>
      </c>
      <c r="F794" s="1">
        <v>46164</v>
      </c>
      <c r="G794">
        <v>62</v>
      </c>
      <c r="H794">
        <v>30.39</v>
      </c>
    </row>
    <row r="795" spans="1:8" customFormat="1" x14ac:dyDescent="0.35">
      <c r="A795" t="s">
        <v>834</v>
      </c>
      <c r="B795" s="1">
        <v>46162</v>
      </c>
      <c r="C795" t="s">
        <v>33</v>
      </c>
      <c r="D795" t="s">
        <v>12</v>
      </c>
      <c r="E795" s="1">
        <v>46163</v>
      </c>
      <c r="F795" s="1">
        <v>46163</v>
      </c>
      <c r="G795">
        <v>2161</v>
      </c>
      <c r="H795">
        <v>351.83</v>
      </c>
    </row>
    <row r="796" spans="1:8" customFormat="1" x14ac:dyDescent="0.35">
      <c r="A796" t="s">
        <v>835</v>
      </c>
      <c r="B796" s="1">
        <v>46162</v>
      </c>
      <c r="C796" t="s">
        <v>22</v>
      </c>
      <c r="D796" t="s">
        <v>4</v>
      </c>
      <c r="E796" s="1">
        <v>46163</v>
      </c>
      <c r="F796" s="1">
        <v>46163</v>
      </c>
      <c r="G796">
        <v>946</v>
      </c>
      <c r="H796">
        <v>182</v>
      </c>
    </row>
    <row r="797" spans="1:8" customFormat="1" x14ac:dyDescent="0.35">
      <c r="A797" t="s">
        <v>836</v>
      </c>
      <c r="B797" s="1">
        <v>46163</v>
      </c>
      <c r="C797" t="s">
        <v>33</v>
      </c>
      <c r="D797" t="s">
        <v>12</v>
      </c>
      <c r="E797" s="1">
        <v>46165</v>
      </c>
      <c r="F797" s="1">
        <v>46165</v>
      </c>
      <c r="G797">
        <v>1423</v>
      </c>
      <c r="H797">
        <v>251.67</v>
      </c>
    </row>
    <row r="798" spans="1:8" customFormat="1" x14ac:dyDescent="0.35">
      <c r="A798" t="s">
        <v>837</v>
      </c>
      <c r="B798" s="1">
        <v>46163</v>
      </c>
      <c r="C798" t="s">
        <v>19</v>
      </c>
      <c r="D798" t="s">
        <v>8</v>
      </c>
      <c r="E798" s="1">
        <v>46165</v>
      </c>
      <c r="F798" s="1">
        <v>46164</v>
      </c>
      <c r="G798">
        <v>494</v>
      </c>
      <c r="H798">
        <v>97.48</v>
      </c>
    </row>
    <row r="799" spans="1:8" customFormat="1" x14ac:dyDescent="0.35">
      <c r="A799" t="s">
        <v>838</v>
      </c>
      <c r="B799" s="1">
        <v>46163</v>
      </c>
      <c r="C799" t="s">
        <v>33</v>
      </c>
      <c r="D799" t="s">
        <v>10</v>
      </c>
      <c r="E799" s="1">
        <v>46164</v>
      </c>
      <c r="F799" s="1">
        <v>46164</v>
      </c>
      <c r="G799">
        <v>317</v>
      </c>
      <c r="H799">
        <v>71.650000000000006</v>
      </c>
    </row>
    <row r="800" spans="1:8" customFormat="1" x14ac:dyDescent="0.35">
      <c r="A800" t="s">
        <v>839</v>
      </c>
      <c r="B800" s="1">
        <v>46163</v>
      </c>
      <c r="C800" t="s">
        <v>31</v>
      </c>
      <c r="D800" t="s">
        <v>8</v>
      </c>
      <c r="E800" s="1">
        <v>46164</v>
      </c>
      <c r="F800" s="1">
        <v>46163</v>
      </c>
      <c r="G800">
        <v>910</v>
      </c>
      <c r="H800">
        <v>167.25</v>
      </c>
    </row>
    <row r="801" spans="1:8" customFormat="1" x14ac:dyDescent="0.35">
      <c r="A801" t="s">
        <v>840</v>
      </c>
      <c r="B801" s="1">
        <v>46163</v>
      </c>
      <c r="C801" t="s">
        <v>31</v>
      </c>
      <c r="D801" t="s">
        <v>6</v>
      </c>
      <c r="E801" s="1">
        <v>46164</v>
      </c>
      <c r="F801" s="1">
        <v>46163</v>
      </c>
      <c r="G801">
        <v>2354</v>
      </c>
      <c r="H801">
        <v>377.05</v>
      </c>
    </row>
    <row r="802" spans="1:8" customFormat="1" x14ac:dyDescent="0.35">
      <c r="A802" t="s">
        <v>841</v>
      </c>
      <c r="B802" s="1">
        <v>46163</v>
      </c>
      <c r="C802" t="s">
        <v>19</v>
      </c>
      <c r="D802" t="s">
        <v>10</v>
      </c>
      <c r="E802" s="1">
        <v>46164</v>
      </c>
      <c r="F802" s="1">
        <v>46165</v>
      </c>
      <c r="G802">
        <v>2075</v>
      </c>
      <c r="H802">
        <v>325</v>
      </c>
    </row>
    <row r="803" spans="1:8" customFormat="1" x14ac:dyDescent="0.35">
      <c r="A803" t="s">
        <v>842</v>
      </c>
      <c r="B803" s="1">
        <v>46164</v>
      </c>
      <c r="C803" t="s">
        <v>19</v>
      </c>
      <c r="D803" t="s">
        <v>4</v>
      </c>
      <c r="E803" s="1">
        <v>46166</v>
      </c>
      <c r="F803" s="1">
        <v>46165</v>
      </c>
      <c r="G803">
        <v>1323</v>
      </c>
      <c r="H803">
        <v>230.12</v>
      </c>
    </row>
    <row r="804" spans="1:8" customFormat="1" x14ac:dyDescent="0.35">
      <c r="A804" t="s">
        <v>843</v>
      </c>
      <c r="B804" s="1">
        <v>46164</v>
      </c>
      <c r="C804" t="s">
        <v>19</v>
      </c>
      <c r="D804" t="s">
        <v>12</v>
      </c>
      <c r="E804" s="1">
        <v>46166</v>
      </c>
      <c r="F804" s="1">
        <v>46166</v>
      </c>
      <c r="G804">
        <v>297</v>
      </c>
      <c r="H804">
        <v>76.55</v>
      </c>
    </row>
    <row r="805" spans="1:8" customFormat="1" x14ac:dyDescent="0.35">
      <c r="A805" t="s">
        <v>844</v>
      </c>
      <c r="B805" s="1">
        <v>46165</v>
      </c>
      <c r="C805" t="s">
        <v>33</v>
      </c>
      <c r="D805" t="s">
        <v>8</v>
      </c>
      <c r="E805" s="1">
        <v>46166</v>
      </c>
      <c r="F805" s="1">
        <v>46166</v>
      </c>
      <c r="G805">
        <v>2118</v>
      </c>
      <c r="H805">
        <v>341.1</v>
      </c>
    </row>
    <row r="806" spans="1:8" customFormat="1" x14ac:dyDescent="0.35">
      <c r="A806" t="s">
        <v>845</v>
      </c>
      <c r="B806" s="1">
        <v>46165</v>
      </c>
      <c r="C806" t="s">
        <v>33</v>
      </c>
      <c r="D806" t="s">
        <v>8</v>
      </c>
      <c r="E806" s="1">
        <v>46167</v>
      </c>
      <c r="F806" s="1">
        <v>46166</v>
      </c>
      <c r="G806">
        <v>391</v>
      </c>
      <c r="H806">
        <v>81.09</v>
      </c>
    </row>
    <row r="807" spans="1:8" customFormat="1" x14ac:dyDescent="0.35">
      <c r="A807" t="s">
        <v>846</v>
      </c>
      <c r="B807" s="1">
        <v>46165</v>
      </c>
      <c r="C807" t="s">
        <v>25</v>
      </c>
      <c r="D807" t="s">
        <v>10</v>
      </c>
      <c r="E807" s="1">
        <v>46167</v>
      </c>
      <c r="F807" s="1">
        <v>46166</v>
      </c>
      <c r="G807">
        <v>748</v>
      </c>
      <c r="H807">
        <v>133.69999999999999</v>
      </c>
    </row>
    <row r="808" spans="1:8" customFormat="1" x14ac:dyDescent="0.35">
      <c r="A808" t="s">
        <v>847</v>
      </c>
      <c r="B808" s="1">
        <v>46166</v>
      </c>
      <c r="C808" t="s">
        <v>28</v>
      </c>
      <c r="D808" t="s">
        <v>12</v>
      </c>
      <c r="E808" s="1">
        <v>46167</v>
      </c>
      <c r="F808" s="1">
        <v>46167</v>
      </c>
      <c r="G808">
        <v>2236</v>
      </c>
      <c r="H808">
        <v>372.71</v>
      </c>
    </row>
    <row r="809" spans="1:8" customFormat="1" x14ac:dyDescent="0.35">
      <c r="A809" t="s">
        <v>848</v>
      </c>
      <c r="B809" s="1">
        <v>46166</v>
      </c>
      <c r="C809" t="s">
        <v>22</v>
      </c>
      <c r="D809" t="s">
        <v>12</v>
      </c>
      <c r="E809" s="1">
        <v>46167</v>
      </c>
      <c r="F809" s="1">
        <v>46166</v>
      </c>
      <c r="G809">
        <v>121</v>
      </c>
      <c r="H809">
        <v>46.35</v>
      </c>
    </row>
    <row r="810" spans="1:8" customFormat="1" x14ac:dyDescent="0.35">
      <c r="A810" t="s">
        <v>849</v>
      </c>
      <c r="B810" s="1">
        <v>46166</v>
      </c>
      <c r="C810" t="s">
        <v>22</v>
      </c>
      <c r="D810" t="s">
        <v>4</v>
      </c>
      <c r="E810" s="1">
        <v>46167</v>
      </c>
      <c r="F810" s="1">
        <v>46167</v>
      </c>
      <c r="G810">
        <v>88</v>
      </c>
      <c r="H810">
        <v>46.77</v>
      </c>
    </row>
    <row r="811" spans="1:8" customFormat="1" x14ac:dyDescent="0.35">
      <c r="A811" t="s">
        <v>850</v>
      </c>
      <c r="B811" s="1">
        <v>46167</v>
      </c>
      <c r="C811" t="s">
        <v>31</v>
      </c>
      <c r="D811" t="s">
        <v>12</v>
      </c>
      <c r="E811" s="1">
        <v>46168</v>
      </c>
      <c r="F811" s="1">
        <v>46167</v>
      </c>
      <c r="G811">
        <v>2356</v>
      </c>
      <c r="H811">
        <v>387.39</v>
      </c>
    </row>
    <row r="812" spans="1:8" customFormat="1" x14ac:dyDescent="0.35">
      <c r="A812" t="s">
        <v>851</v>
      </c>
      <c r="B812" s="1">
        <v>46168</v>
      </c>
      <c r="C812" t="s">
        <v>22</v>
      </c>
      <c r="D812" t="s">
        <v>6</v>
      </c>
      <c r="E812" s="1">
        <v>46170</v>
      </c>
      <c r="F812" s="1">
        <v>46170</v>
      </c>
      <c r="G812">
        <v>48</v>
      </c>
      <c r="H812">
        <v>42.43</v>
      </c>
    </row>
    <row r="813" spans="1:8" customFormat="1" x14ac:dyDescent="0.35">
      <c r="A813" t="s">
        <v>852</v>
      </c>
      <c r="B813" s="1">
        <v>46168</v>
      </c>
      <c r="C813" t="s">
        <v>31</v>
      </c>
      <c r="D813" t="s">
        <v>12</v>
      </c>
      <c r="E813" s="1">
        <v>46169</v>
      </c>
      <c r="F813" s="1">
        <v>46168</v>
      </c>
      <c r="G813">
        <v>500</v>
      </c>
      <c r="H813">
        <v>111.91</v>
      </c>
    </row>
    <row r="814" spans="1:8" customFormat="1" x14ac:dyDescent="0.35">
      <c r="A814" t="s">
        <v>853</v>
      </c>
      <c r="B814" s="1">
        <v>46168</v>
      </c>
      <c r="C814" t="s">
        <v>19</v>
      </c>
      <c r="D814" t="s">
        <v>8</v>
      </c>
      <c r="E814" s="1">
        <v>46170</v>
      </c>
      <c r="F814" s="1">
        <v>46171</v>
      </c>
      <c r="G814">
        <v>1473</v>
      </c>
      <c r="H814">
        <v>243.53</v>
      </c>
    </row>
    <row r="815" spans="1:8" customFormat="1" x14ac:dyDescent="0.35">
      <c r="A815" t="s">
        <v>854</v>
      </c>
      <c r="B815" s="1">
        <v>46169</v>
      </c>
      <c r="C815" t="s">
        <v>33</v>
      </c>
      <c r="D815" t="s">
        <v>4</v>
      </c>
      <c r="E815" s="1">
        <v>46171</v>
      </c>
      <c r="F815" s="1">
        <v>46171</v>
      </c>
      <c r="G815">
        <v>1233</v>
      </c>
      <c r="H815">
        <v>222.75</v>
      </c>
    </row>
    <row r="816" spans="1:8" customFormat="1" x14ac:dyDescent="0.35">
      <c r="A816" t="s">
        <v>855</v>
      </c>
      <c r="B816" s="1">
        <v>46169</v>
      </c>
      <c r="C816" t="s">
        <v>19</v>
      </c>
      <c r="D816" t="s">
        <v>6</v>
      </c>
      <c r="E816" s="1">
        <v>46170</v>
      </c>
      <c r="F816" s="1">
        <v>46171</v>
      </c>
      <c r="G816">
        <v>1675</v>
      </c>
      <c r="H816">
        <v>274.81</v>
      </c>
    </row>
    <row r="817" spans="1:8" customFormat="1" x14ac:dyDescent="0.35">
      <c r="A817" t="s">
        <v>856</v>
      </c>
      <c r="B817" s="1">
        <v>46169</v>
      </c>
      <c r="C817" t="s">
        <v>19</v>
      </c>
      <c r="D817" t="s">
        <v>12</v>
      </c>
      <c r="E817" s="1">
        <v>46170</v>
      </c>
      <c r="F817" s="1">
        <v>46172</v>
      </c>
      <c r="G817">
        <v>745</v>
      </c>
      <c r="H817">
        <v>147.44</v>
      </c>
    </row>
    <row r="818" spans="1:8" customFormat="1" x14ac:dyDescent="0.35">
      <c r="A818" t="s">
        <v>857</v>
      </c>
      <c r="B818" s="1">
        <v>46170</v>
      </c>
      <c r="C818" t="s">
        <v>22</v>
      </c>
      <c r="D818" t="s">
        <v>6</v>
      </c>
      <c r="E818" s="1">
        <v>46171</v>
      </c>
      <c r="F818" s="1">
        <v>46171</v>
      </c>
      <c r="G818">
        <v>963</v>
      </c>
      <c r="H818">
        <v>166.99</v>
      </c>
    </row>
    <row r="819" spans="1:8" customFormat="1" x14ac:dyDescent="0.35">
      <c r="A819" t="s">
        <v>858</v>
      </c>
      <c r="B819" s="1">
        <v>46170</v>
      </c>
      <c r="C819" t="s">
        <v>22</v>
      </c>
      <c r="D819" t="s">
        <v>10</v>
      </c>
      <c r="E819" s="1">
        <v>46171</v>
      </c>
      <c r="F819" s="1">
        <v>46171</v>
      </c>
      <c r="G819">
        <v>2331</v>
      </c>
      <c r="H819">
        <v>375.42</v>
      </c>
    </row>
    <row r="820" spans="1:8" customFormat="1" x14ac:dyDescent="0.35">
      <c r="A820" t="s">
        <v>859</v>
      </c>
      <c r="B820" s="1">
        <v>46171</v>
      </c>
      <c r="C820" t="s">
        <v>22</v>
      </c>
      <c r="D820" t="s">
        <v>4</v>
      </c>
      <c r="E820" s="1">
        <v>46172</v>
      </c>
      <c r="F820" s="1">
        <v>46171</v>
      </c>
      <c r="G820">
        <v>286</v>
      </c>
      <c r="H820">
        <v>82.98</v>
      </c>
    </row>
    <row r="821" spans="1:8" customFormat="1" x14ac:dyDescent="0.35">
      <c r="A821" t="s">
        <v>860</v>
      </c>
      <c r="B821" s="1">
        <v>46172</v>
      </c>
      <c r="C821" t="s">
        <v>19</v>
      </c>
      <c r="D821" t="s">
        <v>8</v>
      </c>
      <c r="E821" s="1">
        <v>46173</v>
      </c>
      <c r="F821" s="1">
        <v>46174</v>
      </c>
      <c r="G821">
        <v>1975</v>
      </c>
      <c r="H821">
        <v>319.45999999999998</v>
      </c>
    </row>
    <row r="822" spans="1:8" customFormat="1" x14ac:dyDescent="0.35">
      <c r="A822" t="s">
        <v>861</v>
      </c>
      <c r="B822" s="1">
        <v>46173</v>
      </c>
      <c r="C822" t="s">
        <v>25</v>
      </c>
      <c r="D822" t="s">
        <v>8</v>
      </c>
      <c r="E822" s="1">
        <v>46174</v>
      </c>
      <c r="F822" s="1">
        <v>46173</v>
      </c>
      <c r="G822">
        <v>1856</v>
      </c>
      <c r="H822">
        <v>298.45999999999998</v>
      </c>
    </row>
    <row r="823" spans="1:8" customFormat="1" x14ac:dyDescent="0.35">
      <c r="A823" t="s">
        <v>862</v>
      </c>
      <c r="B823" s="1">
        <v>46173</v>
      </c>
      <c r="C823" t="s">
        <v>25</v>
      </c>
      <c r="D823" t="s">
        <v>8</v>
      </c>
      <c r="E823" s="1">
        <v>46174</v>
      </c>
      <c r="F823" s="1">
        <v>46174</v>
      </c>
      <c r="G823">
        <v>2335</v>
      </c>
      <c r="H823">
        <v>375.1</v>
      </c>
    </row>
    <row r="824" spans="1:8" customFormat="1" x14ac:dyDescent="0.35">
      <c r="A824" t="s">
        <v>863</v>
      </c>
      <c r="B824" s="1">
        <v>46173</v>
      </c>
      <c r="C824" t="s">
        <v>22</v>
      </c>
      <c r="D824" t="s">
        <v>8</v>
      </c>
      <c r="E824" s="1">
        <v>46174</v>
      </c>
      <c r="F824" s="1">
        <v>46175</v>
      </c>
      <c r="G824">
        <v>1710</v>
      </c>
      <c r="H824">
        <v>275.42</v>
      </c>
    </row>
    <row r="825" spans="1:8" customFormat="1" x14ac:dyDescent="0.35">
      <c r="A825" t="s">
        <v>864</v>
      </c>
      <c r="B825" s="1">
        <v>46173</v>
      </c>
      <c r="C825" t="s">
        <v>25</v>
      </c>
      <c r="D825" t="s">
        <v>8</v>
      </c>
      <c r="E825" s="1">
        <v>46174</v>
      </c>
      <c r="F825" s="1">
        <v>46175</v>
      </c>
      <c r="G825">
        <v>1621</v>
      </c>
      <c r="H825">
        <v>272.7</v>
      </c>
    </row>
    <row r="826" spans="1:8" customFormat="1" x14ac:dyDescent="0.35">
      <c r="A826" t="s">
        <v>865</v>
      </c>
      <c r="B826" s="1">
        <v>46174</v>
      </c>
      <c r="C826" t="s">
        <v>28</v>
      </c>
      <c r="D826" t="s">
        <v>8</v>
      </c>
      <c r="E826" s="1">
        <v>46175</v>
      </c>
      <c r="F826" s="1">
        <v>46175</v>
      </c>
      <c r="G826">
        <v>1855</v>
      </c>
      <c r="H826">
        <v>302.01</v>
      </c>
    </row>
    <row r="827" spans="1:8" customFormat="1" x14ac:dyDescent="0.35">
      <c r="A827" t="s">
        <v>866</v>
      </c>
      <c r="B827" s="1">
        <v>46174</v>
      </c>
      <c r="C827" t="s">
        <v>31</v>
      </c>
      <c r="D827" t="s">
        <v>8</v>
      </c>
      <c r="E827" s="1">
        <v>46176</v>
      </c>
      <c r="F827" s="1">
        <v>46176</v>
      </c>
      <c r="G827">
        <v>1387</v>
      </c>
      <c r="H827">
        <v>239.28</v>
      </c>
    </row>
    <row r="828" spans="1:8" customFormat="1" x14ac:dyDescent="0.35">
      <c r="A828" t="s">
        <v>867</v>
      </c>
      <c r="B828" s="1">
        <v>46174</v>
      </c>
      <c r="C828" t="s">
        <v>19</v>
      </c>
      <c r="D828" t="s">
        <v>4</v>
      </c>
      <c r="E828" s="1">
        <v>46175</v>
      </c>
      <c r="F828" s="1">
        <v>46176</v>
      </c>
      <c r="G828">
        <v>1829</v>
      </c>
      <c r="H828">
        <v>306.55</v>
      </c>
    </row>
    <row r="829" spans="1:8" customFormat="1" x14ac:dyDescent="0.35">
      <c r="A829" t="s">
        <v>868</v>
      </c>
      <c r="B829" s="1">
        <v>46174</v>
      </c>
      <c r="C829" t="s">
        <v>31</v>
      </c>
      <c r="D829" t="s">
        <v>12</v>
      </c>
      <c r="E829" s="1">
        <v>46175</v>
      </c>
      <c r="F829" s="1">
        <v>46174</v>
      </c>
      <c r="G829">
        <v>1625</v>
      </c>
      <c r="H829">
        <v>269.87</v>
      </c>
    </row>
    <row r="830" spans="1:8" customFormat="1" x14ac:dyDescent="0.35">
      <c r="A830" t="s">
        <v>869</v>
      </c>
      <c r="B830" s="1">
        <v>46174</v>
      </c>
      <c r="C830" t="s">
        <v>33</v>
      </c>
      <c r="D830" t="s">
        <v>6</v>
      </c>
      <c r="E830" s="1">
        <v>46175</v>
      </c>
      <c r="F830" s="1">
        <v>46174</v>
      </c>
      <c r="G830">
        <v>2486</v>
      </c>
      <c r="H830">
        <v>396.6</v>
      </c>
    </row>
    <row r="831" spans="1:8" customFormat="1" x14ac:dyDescent="0.35">
      <c r="A831" t="s">
        <v>870</v>
      </c>
      <c r="B831" s="1">
        <v>46174</v>
      </c>
      <c r="C831" t="s">
        <v>31</v>
      </c>
      <c r="D831" t="s">
        <v>6</v>
      </c>
      <c r="E831" s="1">
        <v>46175</v>
      </c>
      <c r="F831" s="1">
        <v>46175</v>
      </c>
      <c r="G831">
        <v>1656</v>
      </c>
      <c r="H831">
        <v>275.01</v>
      </c>
    </row>
    <row r="832" spans="1:8" customFormat="1" x14ac:dyDescent="0.35">
      <c r="A832" t="s">
        <v>871</v>
      </c>
      <c r="B832" s="1">
        <v>46175</v>
      </c>
      <c r="C832" t="s">
        <v>31</v>
      </c>
      <c r="D832" t="s">
        <v>8</v>
      </c>
      <c r="E832" s="1">
        <v>46177</v>
      </c>
      <c r="F832" s="1">
        <v>46177</v>
      </c>
      <c r="G832">
        <v>478</v>
      </c>
      <c r="H832">
        <v>100.89</v>
      </c>
    </row>
    <row r="833" spans="1:8" customFormat="1" x14ac:dyDescent="0.35">
      <c r="A833" t="s">
        <v>872</v>
      </c>
      <c r="B833" s="1">
        <v>46175</v>
      </c>
      <c r="C833" t="s">
        <v>28</v>
      </c>
      <c r="D833" t="s">
        <v>12</v>
      </c>
      <c r="E833" s="1">
        <v>46177</v>
      </c>
      <c r="F833" s="1">
        <v>46177</v>
      </c>
      <c r="G833">
        <v>1278</v>
      </c>
      <c r="H833">
        <v>229.23</v>
      </c>
    </row>
    <row r="834" spans="1:8" customFormat="1" x14ac:dyDescent="0.35">
      <c r="A834" t="s">
        <v>873</v>
      </c>
      <c r="B834" s="1">
        <v>46176</v>
      </c>
      <c r="C834" t="s">
        <v>25</v>
      </c>
      <c r="D834" t="s">
        <v>10</v>
      </c>
      <c r="E834" s="1">
        <v>46177</v>
      </c>
      <c r="F834" s="1">
        <v>46178</v>
      </c>
      <c r="G834">
        <v>1269</v>
      </c>
      <c r="H834">
        <v>207.19</v>
      </c>
    </row>
    <row r="835" spans="1:8" customFormat="1" x14ac:dyDescent="0.35">
      <c r="A835" t="s">
        <v>874</v>
      </c>
      <c r="B835" s="1">
        <v>46177</v>
      </c>
      <c r="C835" t="s">
        <v>31</v>
      </c>
      <c r="D835" t="s">
        <v>12</v>
      </c>
      <c r="E835" s="1">
        <v>46179</v>
      </c>
      <c r="F835" s="1">
        <v>46179</v>
      </c>
      <c r="G835">
        <v>1245</v>
      </c>
      <c r="H835">
        <v>213.73</v>
      </c>
    </row>
    <row r="836" spans="1:8" customFormat="1" x14ac:dyDescent="0.35">
      <c r="A836" t="s">
        <v>875</v>
      </c>
      <c r="B836" s="1">
        <v>46178</v>
      </c>
      <c r="C836" t="s">
        <v>19</v>
      </c>
      <c r="D836" t="s">
        <v>10</v>
      </c>
      <c r="E836" s="1">
        <v>46179</v>
      </c>
      <c r="F836" s="1">
        <v>46178</v>
      </c>
      <c r="G836">
        <v>2221</v>
      </c>
      <c r="H836">
        <v>354.87</v>
      </c>
    </row>
    <row r="837" spans="1:8" customFormat="1" x14ac:dyDescent="0.35">
      <c r="A837" t="s">
        <v>876</v>
      </c>
      <c r="B837" s="1">
        <v>46178</v>
      </c>
      <c r="C837" t="s">
        <v>33</v>
      </c>
      <c r="D837" t="s">
        <v>10</v>
      </c>
      <c r="E837" s="1">
        <v>46180</v>
      </c>
      <c r="F837" s="1">
        <v>46180</v>
      </c>
      <c r="G837">
        <v>1487</v>
      </c>
      <c r="H837">
        <v>246.66</v>
      </c>
    </row>
    <row r="838" spans="1:8" customFormat="1" x14ac:dyDescent="0.35">
      <c r="A838" t="s">
        <v>877</v>
      </c>
      <c r="B838" s="1">
        <v>46179</v>
      </c>
      <c r="C838" t="s">
        <v>31</v>
      </c>
      <c r="D838" t="s">
        <v>8</v>
      </c>
      <c r="E838" s="1">
        <v>46180</v>
      </c>
      <c r="F838" s="1">
        <v>46180</v>
      </c>
      <c r="G838">
        <v>1406</v>
      </c>
      <c r="H838">
        <v>232.75</v>
      </c>
    </row>
    <row r="839" spans="1:8" customFormat="1" x14ac:dyDescent="0.35">
      <c r="A839" t="s">
        <v>878</v>
      </c>
      <c r="B839" s="1">
        <v>46179</v>
      </c>
      <c r="C839" t="s">
        <v>25</v>
      </c>
      <c r="D839" t="s">
        <v>10</v>
      </c>
      <c r="E839" s="1">
        <v>46180</v>
      </c>
      <c r="F839" s="1">
        <v>46179</v>
      </c>
      <c r="G839">
        <v>2227</v>
      </c>
      <c r="H839">
        <v>357.56</v>
      </c>
    </row>
    <row r="840" spans="1:8" customFormat="1" x14ac:dyDescent="0.35">
      <c r="A840" t="s">
        <v>879</v>
      </c>
      <c r="B840" s="1">
        <v>46179</v>
      </c>
      <c r="C840" t="s">
        <v>22</v>
      </c>
      <c r="D840" t="s">
        <v>12</v>
      </c>
      <c r="E840" s="1">
        <v>46180</v>
      </c>
      <c r="F840" s="1">
        <v>46180</v>
      </c>
      <c r="G840">
        <v>950</v>
      </c>
      <c r="H840">
        <v>167.7</v>
      </c>
    </row>
    <row r="841" spans="1:8" customFormat="1" x14ac:dyDescent="0.35">
      <c r="A841" t="s">
        <v>880</v>
      </c>
      <c r="B841" s="1">
        <v>46179</v>
      </c>
      <c r="C841" t="s">
        <v>31</v>
      </c>
      <c r="D841" t="s">
        <v>4</v>
      </c>
      <c r="E841" s="1">
        <v>46181</v>
      </c>
      <c r="F841" s="1">
        <v>46181</v>
      </c>
      <c r="G841">
        <v>1761</v>
      </c>
      <c r="H841">
        <v>296.19</v>
      </c>
    </row>
    <row r="842" spans="1:8" customFormat="1" x14ac:dyDescent="0.35">
      <c r="A842" t="s">
        <v>881</v>
      </c>
      <c r="B842" s="1">
        <v>46180</v>
      </c>
      <c r="C842" t="s">
        <v>31</v>
      </c>
      <c r="D842" t="s">
        <v>6</v>
      </c>
      <c r="E842" s="1">
        <v>46182</v>
      </c>
      <c r="F842" s="1">
        <v>46181</v>
      </c>
      <c r="G842">
        <v>990</v>
      </c>
      <c r="H842">
        <v>177.67</v>
      </c>
    </row>
    <row r="843" spans="1:8" customFormat="1" x14ac:dyDescent="0.35">
      <c r="A843" t="s">
        <v>882</v>
      </c>
      <c r="B843" s="1">
        <v>46180</v>
      </c>
      <c r="C843" t="s">
        <v>22</v>
      </c>
      <c r="D843" t="s">
        <v>12</v>
      </c>
      <c r="E843" s="1">
        <v>46181</v>
      </c>
      <c r="F843" s="1">
        <v>46180</v>
      </c>
      <c r="G843">
        <v>1341</v>
      </c>
      <c r="H843">
        <v>235.15</v>
      </c>
    </row>
    <row r="844" spans="1:8" customFormat="1" x14ac:dyDescent="0.35">
      <c r="A844" t="s">
        <v>883</v>
      </c>
      <c r="B844" s="1">
        <v>46181</v>
      </c>
      <c r="C844" t="s">
        <v>25</v>
      </c>
      <c r="D844" t="s">
        <v>8</v>
      </c>
      <c r="E844" s="1">
        <v>46183</v>
      </c>
      <c r="F844" s="1">
        <v>46183</v>
      </c>
      <c r="G844">
        <v>1890</v>
      </c>
      <c r="H844">
        <v>303.68</v>
      </c>
    </row>
    <row r="845" spans="1:8" customFormat="1" x14ac:dyDescent="0.35">
      <c r="A845" t="s">
        <v>884</v>
      </c>
      <c r="B845" s="1">
        <v>46182</v>
      </c>
      <c r="C845" t="s">
        <v>22</v>
      </c>
      <c r="D845" t="s">
        <v>8</v>
      </c>
      <c r="E845" s="1">
        <v>46184</v>
      </c>
      <c r="F845" s="1">
        <v>46184</v>
      </c>
      <c r="G845">
        <v>1395</v>
      </c>
      <c r="H845">
        <v>235.83</v>
      </c>
    </row>
    <row r="846" spans="1:8" customFormat="1" x14ac:dyDescent="0.35">
      <c r="A846" t="s">
        <v>885</v>
      </c>
      <c r="B846" s="1">
        <v>46182</v>
      </c>
      <c r="C846" t="s">
        <v>22</v>
      </c>
      <c r="D846" t="s">
        <v>8</v>
      </c>
      <c r="E846" s="1">
        <v>46183</v>
      </c>
      <c r="F846" s="1">
        <v>46184</v>
      </c>
      <c r="G846">
        <v>493</v>
      </c>
      <c r="H846">
        <v>101.41</v>
      </c>
    </row>
    <row r="847" spans="1:8" customFormat="1" x14ac:dyDescent="0.35">
      <c r="A847" t="s">
        <v>886</v>
      </c>
      <c r="B847" s="1">
        <v>46182</v>
      </c>
      <c r="C847" t="s">
        <v>31</v>
      </c>
      <c r="D847" t="s">
        <v>4</v>
      </c>
      <c r="E847" s="1">
        <v>46183</v>
      </c>
      <c r="F847" s="1">
        <v>46182</v>
      </c>
      <c r="G847">
        <v>493</v>
      </c>
      <c r="H847">
        <v>113.51</v>
      </c>
    </row>
    <row r="848" spans="1:8" customFormat="1" x14ac:dyDescent="0.35">
      <c r="A848" t="s">
        <v>887</v>
      </c>
      <c r="B848" s="1">
        <v>46183</v>
      </c>
      <c r="C848" t="s">
        <v>33</v>
      </c>
      <c r="D848" t="s">
        <v>12</v>
      </c>
      <c r="E848" s="1">
        <v>46184</v>
      </c>
      <c r="F848" s="1">
        <v>46184</v>
      </c>
      <c r="G848">
        <v>434</v>
      </c>
      <c r="H848">
        <v>103.08</v>
      </c>
    </row>
    <row r="849" spans="1:8" customFormat="1" x14ac:dyDescent="0.35">
      <c r="A849" t="s">
        <v>888</v>
      </c>
      <c r="B849" s="1">
        <v>46183</v>
      </c>
      <c r="C849" t="s">
        <v>25</v>
      </c>
      <c r="D849" t="s">
        <v>6</v>
      </c>
      <c r="E849" s="1">
        <v>46185</v>
      </c>
      <c r="F849" s="1">
        <v>46185</v>
      </c>
      <c r="G849">
        <v>1235</v>
      </c>
      <c r="H849">
        <v>215.91</v>
      </c>
    </row>
    <row r="850" spans="1:8" customFormat="1" x14ac:dyDescent="0.35">
      <c r="A850" t="s">
        <v>889</v>
      </c>
      <c r="B850" s="1">
        <v>46183</v>
      </c>
      <c r="C850" t="s">
        <v>19</v>
      </c>
      <c r="D850" t="s">
        <v>12</v>
      </c>
      <c r="E850" s="1">
        <v>46185</v>
      </c>
      <c r="F850" s="1">
        <v>46184</v>
      </c>
      <c r="G850">
        <v>1773</v>
      </c>
      <c r="H850">
        <v>291.44</v>
      </c>
    </row>
    <row r="851" spans="1:8" customFormat="1" x14ac:dyDescent="0.35">
      <c r="A851" t="s">
        <v>890</v>
      </c>
      <c r="B851" s="1">
        <v>46183</v>
      </c>
      <c r="C851" t="s">
        <v>25</v>
      </c>
      <c r="D851" t="s">
        <v>8</v>
      </c>
      <c r="E851" s="1">
        <v>46184</v>
      </c>
      <c r="F851" s="1">
        <v>46183</v>
      </c>
      <c r="G851">
        <v>1534</v>
      </c>
      <c r="H851">
        <v>251.98</v>
      </c>
    </row>
    <row r="852" spans="1:8" customFormat="1" x14ac:dyDescent="0.35">
      <c r="A852" t="s">
        <v>891</v>
      </c>
      <c r="B852" s="1">
        <v>46183</v>
      </c>
      <c r="C852" t="s">
        <v>33</v>
      </c>
      <c r="D852" t="s">
        <v>8</v>
      </c>
      <c r="E852" s="1">
        <v>46185</v>
      </c>
      <c r="F852" s="1">
        <v>46185</v>
      </c>
      <c r="G852">
        <v>1111</v>
      </c>
      <c r="H852">
        <v>189.24</v>
      </c>
    </row>
    <row r="853" spans="1:8" customFormat="1" x14ac:dyDescent="0.35">
      <c r="A853" t="s">
        <v>892</v>
      </c>
      <c r="B853" s="1">
        <v>46183</v>
      </c>
      <c r="C853" t="s">
        <v>31</v>
      </c>
      <c r="D853" t="s">
        <v>8</v>
      </c>
      <c r="E853" s="1">
        <v>46184</v>
      </c>
      <c r="F853" s="1">
        <v>46183</v>
      </c>
      <c r="G853">
        <v>116</v>
      </c>
      <c r="H853">
        <v>39.19</v>
      </c>
    </row>
    <row r="854" spans="1:8" customFormat="1" x14ac:dyDescent="0.35">
      <c r="A854" t="s">
        <v>893</v>
      </c>
      <c r="B854" s="1">
        <v>46183</v>
      </c>
      <c r="C854" t="s">
        <v>33</v>
      </c>
      <c r="D854" t="s">
        <v>10</v>
      </c>
      <c r="E854" s="1">
        <v>46184</v>
      </c>
      <c r="F854" s="1">
        <v>46184</v>
      </c>
      <c r="G854">
        <v>1738</v>
      </c>
      <c r="H854">
        <v>282.60000000000002</v>
      </c>
    </row>
    <row r="855" spans="1:8" customFormat="1" x14ac:dyDescent="0.35">
      <c r="A855" t="s">
        <v>894</v>
      </c>
      <c r="B855" s="1">
        <v>46184</v>
      </c>
      <c r="C855" t="s">
        <v>33</v>
      </c>
      <c r="D855" t="s">
        <v>6</v>
      </c>
      <c r="E855" s="1">
        <v>46185</v>
      </c>
      <c r="F855" s="1">
        <v>46184</v>
      </c>
      <c r="G855">
        <v>2327</v>
      </c>
      <c r="H855">
        <v>380.69</v>
      </c>
    </row>
    <row r="856" spans="1:8" customFormat="1" x14ac:dyDescent="0.35">
      <c r="A856" t="s">
        <v>895</v>
      </c>
      <c r="B856" s="1">
        <v>46185</v>
      </c>
      <c r="C856" t="s">
        <v>33</v>
      </c>
      <c r="D856" t="s">
        <v>10</v>
      </c>
      <c r="E856" s="1">
        <v>46186</v>
      </c>
      <c r="F856" s="1">
        <v>46187</v>
      </c>
      <c r="G856">
        <v>514</v>
      </c>
      <c r="H856">
        <v>99.19</v>
      </c>
    </row>
    <row r="857" spans="1:8" customFormat="1" x14ac:dyDescent="0.35">
      <c r="A857" t="s">
        <v>896</v>
      </c>
      <c r="B857" s="1">
        <v>46185</v>
      </c>
      <c r="C857" t="s">
        <v>33</v>
      </c>
      <c r="D857" t="s">
        <v>12</v>
      </c>
      <c r="E857" s="1">
        <v>46186</v>
      </c>
      <c r="F857" s="1">
        <v>46185</v>
      </c>
      <c r="G857">
        <v>1771</v>
      </c>
      <c r="H857">
        <v>294.39999999999998</v>
      </c>
    </row>
    <row r="858" spans="1:8" customFormat="1" x14ac:dyDescent="0.35">
      <c r="A858" t="s">
        <v>897</v>
      </c>
      <c r="B858" s="1">
        <v>46186</v>
      </c>
      <c r="C858" t="s">
        <v>25</v>
      </c>
      <c r="D858" t="s">
        <v>6</v>
      </c>
      <c r="E858" s="1">
        <v>46187</v>
      </c>
      <c r="F858" s="1">
        <v>46188</v>
      </c>
      <c r="G858">
        <v>641</v>
      </c>
      <c r="H858">
        <v>128.99</v>
      </c>
    </row>
    <row r="859" spans="1:8" customFormat="1" x14ac:dyDescent="0.35">
      <c r="A859" t="s">
        <v>898</v>
      </c>
      <c r="B859" s="1">
        <v>46186</v>
      </c>
      <c r="C859" t="s">
        <v>22</v>
      </c>
      <c r="D859" t="s">
        <v>4</v>
      </c>
      <c r="E859" s="1">
        <v>46188</v>
      </c>
      <c r="F859" s="1">
        <v>46187</v>
      </c>
      <c r="G859">
        <v>1173</v>
      </c>
      <c r="H859">
        <v>209.1</v>
      </c>
    </row>
    <row r="860" spans="1:8" customFormat="1" x14ac:dyDescent="0.35">
      <c r="A860" t="s">
        <v>899</v>
      </c>
      <c r="B860" s="1">
        <v>46186</v>
      </c>
      <c r="C860" t="s">
        <v>19</v>
      </c>
      <c r="D860" t="s">
        <v>6</v>
      </c>
      <c r="E860" s="1">
        <v>46187</v>
      </c>
      <c r="F860" s="1">
        <v>46189</v>
      </c>
      <c r="G860">
        <v>1268</v>
      </c>
      <c r="H860">
        <v>224.26</v>
      </c>
    </row>
    <row r="861" spans="1:8" customFormat="1" x14ac:dyDescent="0.35">
      <c r="A861" t="s">
        <v>900</v>
      </c>
      <c r="B861" s="1">
        <v>46187</v>
      </c>
      <c r="C861" t="s">
        <v>28</v>
      </c>
      <c r="D861" t="s">
        <v>6</v>
      </c>
      <c r="E861" s="1">
        <v>46188</v>
      </c>
      <c r="F861" s="1">
        <v>46192</v>
      </c>
      <c r="G861">
        <v>460</v>
      </c>
      <c r="H861">
        <v>93.61</v>
      </c>
    </row>
    <row r="862" spans="1:8" customFormat="1" x14ac:dyDescent="0.35">
      <c r="A862" t="s">
        <v>901</v>
      </c>
      <c r="B862" s="1">
        <v>46188</v>
      </c>
      <c r="C862" t="s">
        <v>28</v>
      </c>
      <c r="D862" t="s">
        <v>6</v>
      </c>
      <c r="E862" s="1">
        <v>46190</v>
      </c>
      <c r="F862" s="1">
        <v>46191</v>
      </c>
      <c r="G862">
        <v>2201</v>
      </c>
      <c r="H862">
        <v>352.23</v>
      </c>
    </row>
    <row r="863" spans="1:8" customFormat="1" x14ac:dyDescent="0.35">
      <c r="A863" t="s">
        <v>902</v>
      </c>
      <c r="B863" s="1">
        <v>46188</v>
      </c>
      <c r="C863" t="s">
        <v>31</v>
      </c>
      <c r="D863" t="s">
        <v>4</v>
      </c>
      <c r="E863" s="1">
        <v>46189</v>
      </c>
      <c r="F863" s="1">
        <v>46189</v>
      </c>
      <c r="G863">
        <v>2026</v>
      </c>
      <c r="H863">
        <v>342.29</v>
      </c>
    </row>
    <row r="864" spans="1:8" customFormat="1" x14ac:dyDescent="0.35">
      <c r="A864" t="s">
        <v>903</v>
      </c>
      <c r="B864" s="1">
        <v>46189</v>
      </c>
      <c r="C864" t="s">
        <v>31</v>
      </c>
      <c r="D864" t="s">
        <v>12</v>
      </c>
      <c r="E864" s="1">
        <v>46191</v>
      </c>
      <c r="F864" s="1">
        <v>46192</v>
      </c>
      <c r="G864">
        <v>2330</v>
      </c>
      <c r="H864">
        <v>382.22</v>
      </c>
    </row>
    <row r="865" spans="1:8" customFormat="1" x14ac:dyDescent="0.35">
      <c r="A865" t="s">
        <v>904</v>
      </c>
      <c r="B865" s="1">
        <v>46189</v>
      </c>
      <c r="C865" t="s">
        <v>25</v>
      </c>
      <c r="D865" t="s">
        <v>6</v>
      </c>
      <c r="E865" s="1">
        <v>46191</v>
      </c>
      <c r="F865" s="1">
        <v>46191</v>
      </c>
      <c r="G865">
        <v>2027</v>
      </c>
      <c r="H865">
        <v>337.92</v>
      </c>
    </row>
    <row r="866" spans="1:8" customFormat="1" x14ac:dyDescent="0.35">
      <c r="A866" t="s">
        <v>905</v>
      </c>
      <c r="B866" s="1">
        <v>46189</v>
      </c>
      <c r="C866" t="s">
        <v>22</v>
      </c>
      <c r="D866" t="s">
        <v>10</v>
      </c>
      <c r="E866" s="1">
        <v>46191</v>
      </c>
      <c r="F866" s="1">
        <v>46191</v>
      </c>
      <c r="G866">
        <v>1465</v>
      </c>
      <c r="H866">
        <v>236.39</v>
      </c>
    </row>
    <row r="867" spans="1:8" customFormat="1" x14ac:dyDescent="0.35">
      <c r="A867" t="s">
        <v>906</v>
      </c>
      <c r="B867" s="1">
        <v>46189</v>
      </c>
      <c r="C867" t="s">
        <v>33</v>
      </c>
      <c r="D867" t="s">
        <v>4</v>
      </c>
      <c r="E867" s="1">
        <v>46190</v>
      </c>
      <c r="F867" s="1">
        <v>46189</v>
      </c>
      <c r="G867">
        <v>2330</v>
      </c>
      <c r="H867">
        <v>388.02</v>
      </c>
    </row>
    <row r="868" spans="1:8" customFormat="1" x14ac:dyDescent="0.35">
      <c r="A868" t="s">
        <v>907</v>
      </c>
      <c r="B868" s="1">
        <v>46189</v>
      </c>
      <c r="C868" t="s">
        <v>31</v>
      </c>
      <c r="D868" t="s">
        <v>10</v>
      </c>
      <c r="E868" s="1">
        <v>46191</v>
      </c>
      <c r="F868" s="1">
        <v>46191</v>
      </c>
      <c r="G868">
        <v>1666</v>
      </c>
      <c r="H868">
        <v>274.77999999999997</v>
      </c>
    </row>
    <row r="869" spans="1:8" customFormat="1" x14ac:dyDescent="0.35">
      <c r="A869" t="s">
        <v>908</v>
      </c>
      <c r="B869" s="1">
        <v>46190</v>
      </c>
      <c r="C869" t="s">
        <v>31</v>
      </c>
      <c r="D869" t="s">
        <v>6</v>
      </c>
      <c r="E869" s="1">
        <v>46192</v>
      </c>
      <c r="F869" s="1">
        <v>46193</v>
      </c>
      <c r="G869">
        <v>620</v>
      </c>
      <c r="H869">
        <v>128.38</v>
      </c>
    </row>
    <row r="870" spans="1:8" customFormat="1" x14ac:dyDescent="0.35">
      <c r="A870" t="s">
        <v>909</v>
      </c>
      <c r="B870" s="1">
        <v>46190</v>
      </c>
      <c r="C870" t="s">
        <v>33</v>
      </c>
      <c r="D870" t="s">
        <v>6</v>
      </c>
      <c r="E870" s="1">
        <v>46192</v>
      </c>
      <c r="F870" s="1">
        <v>46193</v>
      </c>
      <c r="G870">
        <v>621</v>
      </c>
      <c r="H870">
        <v>125.18</v>
      </c>
    </row>
    <row r="871" spans="1:8" customFormat="1" x14ac:dyDescent="0.35">
      <c r="A871" t="s">
        <v>910</v>
      </c>
      <c r="B871" s="1">
        <v>46190</v>
      </c>
      <c r="C871" t="s">
        <v>31</v>
      </c>
      <c r="D871" t="s">
        <v>6</v>
      </c>
      <c r="E871" s="1">
        <v>46191</v>
      </c>
      <c r="F871" s="1">
        <v>46191</v>
      </c>
      <c r="G871">
        <v>1951</v>
      </c>
      <c r="H871">
        <v>320.73</v>
      </c>
    </row>
    <row r="872" spans="1:8" customFormat="1" x14ac:dyDescent="0.35">
      <c r="A872" t="s">
        <v>911</v>
      </c>
      <c r="B872" s="1">
        <v>46191</v>
      </c>
      <c r="C872" t="s">
        <v>22</v>
      </c>
      <c r="D872" t="s">
        <v>4</v>
      </c>
      <c r="E872" s="1">
        <v>46193</v>
      </c>
      <c r="F872" s="1">
        <v>46193</v>
      </c>
      <c r="G872">
        <v>505</v>
      </c>
      <c r="H872">
        <v>114.19</v>
      </c>
    </row>
    <row r="873" spans="1:8" customFormat="1" x14ac:dyDescent="0.35">
      <c r="A873" t="s">
        <v>912</v>
      </c>
      <c r="B873" s="1">
        <v>46191</v>
      </c>
      <c r="C873" t="s">
        <v>31</v>
      </c>
      <c r="D873" t="s">
        <v>8</v>
      </c>
      <c r="E873" s="1">
        <v>46193</v>
      </c>
      <c r="F873" s="1">
        <v>46193</v>
      </c>
      <c r="G873">
        <v>1673</v>
      </c>
      <c r="H873">
        <v>271.81</v>
      </c>
    </row>
    <row r="874" spans="1:8" customFormat="1" x14ac:dyDescent="0.35">
      <c r="A874" t="s">
        <v>913</v>
      </c>
      <c r="B874" s="1">
        <v>46191</v>
      </c>
      <c r="C874" t="s">
        <v>22</v>
      </c>
      <c r="D874" t="s">
        <v>12</v>
      </c>
      <c r="E874" s="1">
        <v>46193</v>
      </c>
      <c r="F874" s="1">
        <v>46193</v>
      </c>
      <c r="G874">
        <v>284</v>
      </c>
      <c r="H874">
        <v>67.81</v>
      </c>
    </row>
    <row r="875" spans="1:8" customFormat="1" x14ac:dyDescent="0.35">
      <c r="A875" t="s">
        <v>914</v>
      </c>
      <c r="B875" s="1">
        <v>46191</v>
      </c>
      <c r="C875" t="s">
        <v>28</v>
      </c>
      <c r="D875" t="s">
        <v>12</v>
      </c>
      <c r="E875" s="1">
        <v>46193</v>
      </c>
      <c r="F875" s="1">
        <v>46193</v>
      </c>
      <c r="G875">
        <v>239</v>
      </c>
      <c r="H875">
        <v>72.28</v>
      </c>
    </row>
    <row r="876" spans="1:8" customFormat="1" x14ac:dyDescent="0.35">
      <c r="A876" t="s">
        <v>915</v>
      </c>
      <c r="B876" s="1">
        <v>46191</v>
      </c>
      <c r="C876" t="s">
        <v>22</v>
      </c>
      <c r="D876" t="s">
        <v>4</v>
      </c>
      <c r="E876" s="1">
        <v>46192</v>
      </c>
      <c r="F876" s="1">
        <v>46192</v>
      </c>
      <c r="G876">
        <v>1243</v>
      </c>
      <c r="H876">
        <v>217.02</v>
      </c>
    </row>
    <row r="877" spans="1:8" customFormat="1" x14ac:dyDescent="0.35">
      <c r="A877" t="s">
        <v>916</v>
      </c>
      <c r="B877" s="1">
        <v>46192</v>
      </c>
      <c r="C877" t="s">
        <v>31</v>
      </c>
      <c r="D877" t="s">
        <v>6</v>
      </c>
      <c r="E877" s="1">
        <v>46194</v>
      </c>
      <c r="F877" s="1">
        <v>46193</v>
      </c>
      <c r="G877">
        <v>32</v>
      </c>
      <c r="H877">
        <v>39.94</v>
      </c>
    </row>
    <row r="878" spans="1:8" customFormat="1" x14ac:dyDescent="0.35">
      <c r="A878" t="s">
        <v>917</v>
      </c>
      <c r="B878" s="1">
        <v>46192</v>
      </c>
      <c r="C878" t="s">
        <v>19</v>
      </c>
      <c r="D878" t="s">
        <v>6</v>
      </c>
      <c r="E878" s="1">
        <v>46194</v>
      </c>
      <c r="F878" s="1">
        <v>46194</v>
      </c>
      <c r="G878">
        <v>1181</v>
      </c>
      <c r="H878">
        <v>205.82</v>
      </c>
    </row>
    <row r="879" spans="1:8" customFormat="1" x14ac:dyDescent="0.35">
      <c r="A879" t="s">
        <v>918</v>
      </c>
      <c r="B879" s="1">
        <v>46193</v>
      </c>
      <c r="C879" t="s">
        <v>31</v>
      </c>
      <c r="D879" t="s">
        <v>10</v>
      </c>
      <c r="E879" s="1">
        <v>46194</v>
      </c>
      <c r="F879" s="1">
        <v>46195</v>
      </c>
      <c r="G879">
        <v>36</v>
      </c>
      <c r="H879">
        <v>18.760000000000002</v>
      </c>
    </row>
    <row r="880" spans="1:8" customFormat="1" x14ac:dyDescent="0.35">
      <c r="A880" t="s">
        <v>919</v>
      </c>
      <c r="B880" s="1">
        <v>46193</v>
      </c>
      <c r="C880" t="s">
        <v>25</v>
      </c>
      <c r="D880" t="s">
        <v>8</v>
      </c>
      <c r="E880" s="1">
        <v>46194</v>
      </c>
      <c r="F880" s="1">
        <v>46193</v>
      </c>
      <c r="G880">
        <v>2339</v>
      </c>
      <c r="H880">
        <v>368.14</v>
      </c>
    </row>
    <row r="881" spans="1:8" customFormat="1" x14ac:dyDescent="0.35">
      <c r="A881" t="s">
        <v>920</v>
      </c>
      <c r="B881" s="1">
        <v>46193</v>
      </c>
      <c r="C881" t="s">
        <v>25</v>
      </c>
      <c r="D881" t="s">
        <v>10</v>
      </c>
      <c r="E881" s="1">
        <v>46194</v>
      </c>
      <c r="F881" s="1">
        <v>46193</v>
      </c>
      <c r="G881">
        <v>2023</v>
      </c>
      <c r="H881">
        <v>323.77</v>
      </c>
    </row>
    <row r="882" spans="1:8" customFormat="1" x14ac:dyDescent="0.35">
      <c r="A882" t="s">
        <v>921</v>
      </c>
      <c r="B882" s="1">
        <v>46194</v>
      </c>
      <c r="C882" t="s">
        <v>28</v>
      </c>
      <c r="D882" t="s">
        <v>10</v>
      </c>
      <c r="E882" s="1">
        <v>46196</v>
      </c>
      <c r="F882" s="1">
        <v>46196</v>
      </c>
      <c r="G882">
        <v>164</v>
      </c>
      <c r="H882">
        <v>45.86</v>
      </c>
    </row>
    <row r="883" spans="1:8" customFormat="1" x14ac:dyDescent="0.35">
      <c r="A883" t="s">
        <v>922</v>
      </c>
      <c r="B883" s="1">
        <v>46194</v>
      </c>
      <c r="C883" t="s">
        <v>25</v>
      </c>
      <c r="D883" t="s">
        <v>12</v>
      </c>
      <c r="E883" s="1">
        <v>46196</v>
      </c>
      <c r="F883" s="1">
        <v>46195</v>
      </c>
      <c r="G883">
        <v>682</v>
      </c>
      <c r="H883">
        <v>133.59</v>
      </c>
    </row>
    <row r="884" spans="1:8" customFormat="1" x14ac:dyDescent="0.35">
      <c r="A884" t="s">
        <v>923</v>
      </c>
      <c r="B884" s="1">
        <v>46194</v>
      </c>
      <c r="C884" t="s">
        <v>33</v>
      </c>
      <c r="D884" t="s">
        <v>8</v>
      </c>
      <c r="E884" s="1">
        <v>46195</v>
      </c>
      <c r="F884" s="1">
        <v>46195</v>
      </c>
      <c r="G884">
        <v>1214</v>
      </c>
      <c r="H884">
        <v>205.23</v>
      </c>
    </row>
    <row r="885" spans="1:8" customFormat="1" x14ac:dyDescent="0.35">
      <c r="A885" t="s">
        <v>924</v>
      </c>
      <c r="B885" s="1">
        <v>46194</v>
      </c>
      <c r="C885" t="s">
        <v>25</v>
      </c>
      <c r="D885" t="s">
        <v>4</v>
      </c>
      <c r="E885" s="1">
        <v>46196</v>
      </c>
      <c r="F885" s="1">
        <v>46196</v>
      </c>
      <c r="G885">
        <v>664</v>
      </c>
      <c r="H885">
        <v>131.78</v>
      </c>
    </row>
    <row r="886" spans="1:8" customFormat="1" x14ac:dyDescent="0.35">
      <c r="A886" t="s">
        <v>925</v>
      </c>
      <c r="B886" s="1">
        <v>46195</v>
      </c>
      <c r="C886" t="s">
        <v>19</v>
      </c>
      <c r="D886" t="s">
        <v>6</v>
      </c>
      <c r="E886" s="1">
        <v>46196</v>
      </c>
      <c r="F886" s="1">
        <v>46195</v>
      </c>
      <c r="G886">
        <v>2377</v>
      </c>
      <c r="H886">
        <v>385.01</v>
      </c>
    </row>
    <row r="887" spans="1:8" customFormat="1" x14ac:dyDescent="0.35">
      <c r="A887" t="s">
        <v>926</v>
      </c>
      <c r="B887" s="1">
        <v>46196</v>
      </c>
      <c r="C887" t="s">
        <v>31</v>
      </c>
      <c r="D887" t="s">
        <v>10</v>
      </c>
      <c r="E887" s="1">
        <v>46197</v>
      </c>
      <c r="F887" s="1">
        <v>46197</v>
      </c>
      <c r="G887">
        <v>1501</v>
      </c>
      <c r="H887">
        <v>250.04</v>
      </c>
    </row>
    <row r="888" spans="1:8" customFormat="1" x14ac:dyDescent="0.35">
      <c r="A888" t="s">
        <v>927</v>
      </c>
      <c r="B888" s="1">
        <v>46196</v>
      </c>
      <c r="C888" t="s">
        <v>33</v>
      </c>
      <c r="D888" t="s">
        <v>8</v>
      </c>
      <c r="E888" s="1">
        <v>46197</v>
      </c>
      <c r="F888" s="1">
        <v>46196</v>
      </c>
      <c r="G888">
        <v>766</v>
      </c>
      <c r="H888">
        <v>131.69</v>
      </c>
    </row>
    <row r="889" spans="1:8" customFormat="1" x14ac:dyDescent="0.35">
      <c r="A889" t="s">
        <v>928</v>
      </c>
      <c r="B889" s="1">
        <v>46196</v>
      </c>
      <c r="C889" t="s">
        <v>31</v>
      </c>
      <c r="D889" t="s">
        <v>12</v>
      </c>
      <c r="E889" s="1">
        <v>46198</v>
      </c>
      <c r="F889" s="1">
        <v>46198</v>
      </c>
      <c r="G889">
        <v>255</v>
      </c>
      <c r="H889">
        <v>69.98</v>
      </c>
    </row>
    <row r="890" spans="1:8" customFormat="1" x14ac:dyDescent="0.35">
      <c r="A890" t="s">
        <v>929</v>
      </c>
      <c r="B890" s="1">
        <v>46197</v>
      </c>
      <c r="C890" t="s">
        <v>19</v>
      </c>
      <c r="D890" t="s">
        <v>4</v>
      </c>
      <c r="E890" s="1">
        <v>46199</v>
      </c>
      <c r="F890" s="1">
        <v>46198</v>
      </c>
      <c r="G890">
        <v>429</v>
      </c>
      <c r="H890">
        <v>101</v>
      </c>
    </row>
    <row r="891" spans="1:8" customFormat="1" x14ac:dyDescent="0.35">
      <c r="A891" t="s">
        <v>930</v>
      </c>
      <c r="B891" s="1">
        <v>46197</v>
      </c>
      <c r="C891" t="s">
        <v>33</v>
      </c>
      <c r="D891" t="s">
        <v>12</v>
      </c>
      <c r="E891" s="1">
        <v>46198</v>
      </c>
      <c r="F891" s="1">
        <v>46198</v>
      </c>
      <c r="G891">
        <v>239</v>
      </c>
      <c r="H891">
        <v>63.19</v>
      </c>
    </row>
    <row r="892" spans="1:8" customFormat="1" x14ac:dyDescent="0.35">
      <c r="A892" t="s">
        <v>931</v>
      </c>
      <c r="B892" s="1">
        <v>46197</v>
      </c>
      <c r="C892" t="s">
        <v>25</v>
      </c>
      <c r="D892" t="s">
        <v>12</v>
      </c>
      <c r="E892" s="1">
        <v>46199</v>
      </c>
      <c r="F892" s="1">
        <v>46199</v>
      </c>
      <c r="G892">
        <v>1435</v>
      </c>
      <c r="H892">
        <v>244.43</v>
      </c>
    </row>
    <row r="893" spans="1:8" customFormat="1" x14ac:dyDescent="0.35">
      <c r="A893" t="s">
        <v>932</v>
      </c>
      <c r="B893" s="1">
        <v>46197</v>
      </c>
      <c r="C893" t="s">
        <v>25</v>
      </c>
      <c r="D893" t="s">
        <v>8</v>
      </c>
      <c r="E893" s="1">
        <v>46199</v>
      </c>
      <c r="F893" s="1">
        <v>46199</v>
      </c>
      <c r="G893">
        <v>1233</v>
      </c>
      <c r="H893">
        <v>204.18</v>
      </c>
    </row>
    <row r="894" spans="1:8" customFormat="1" x14ac:dyDescent="0.35">
      <c r="A894" t="s">
        <v>933</v>
      </c>
      <c r="B894" s="1">
        <v>46197</v>
      </c>
      <c r="C894" t="s">
        <v>25</v>
      </c>
      <c r="D894" t="s">
        <v>10</v>
      </c>
      <c r="E894" s="1">
        <v>46199</v>
      </c>
      <c r="F894" s="1">
        <v>46198</v>
      </c>
      <c r="G894">
        <v>673</v>
      </c>
      <c r="H894">
        <v>119.35</v>
      </c>
    </row>
    <row r="895" spans="1:8" customFormat="1" x14ac:dyDescent="0.35">
      <c r="A895" t="s">
        <v>934</v>
      </c>
      <c r="B895" s="1">
        <v>46198</v>
      </c>
      <c r="C895" t="s">
        <v>31</v>
      </c>
      <c r="D895" t="s">
        <v>8</v>
      </c>
      <c r="E895" s="1">
        <v>46199</v>
      </c>
      <c r="F895" s="1">
        <v>46199</v>
      </c>
      <c r="G895">
        <v>134</v>
      </c>
      <c r="H895">
        <v>43.97</v>
      </c>
    </row>
    <row r="896" spans="1:8" customFormat="1" x14ac:dyDescent="0.35">
      <c r="A896" t="s">
        <v>935</v>
      </c>
      <c r="B896" s="1">
        <v>46198</v>
      </c>
      <c r="C896" t="s">
        <v>31</v>
      </c>
      <c r="D896" t="s">
        <v>12</v>
      </c>
      <c r="E896" s="1">
        <v>46200</v>
      </c>
      <c r="F896" s="1">
        <v>46199</v>
      </c>
      <c r="G896">
        <v>2075</v>
      </c>
      <c r="H896">
        <v>342.17</v>
      </c>
    </row>
    <row r="897" spans="1:8" customFormat="1" x14ac:dyDescent="0.35">
      <c r="A897" t="s">
        <v>936</v>
      </c>
      <c r="B897" s="1">
        <v>46198</v>
      </c>
      <c r="C897" t="s">
        <v>33</v>
      </c>
      <c r="D897" t="s">
        <v>4</v>
      </c>
      <c r="E897" s="1">
        <v>46199</v>
      </c>
      <c r="F897" s="1">
        <v>46199</v>
      </c>
      <c r="G897">
        <v>183</v>
      </c>
      <c r="H897">
        <v>67.12</v>
      </c>
    </row>
    <row r="898" spans="1:8" customFormat="1" x14ac:dyDescent="0.35">
      <c r="A898" t="s">
        <v>937</v>
      </c>
      <c r="B898" s="1">
        <v>46199</v>
      </c>
      <c r="C898" t="s">
        <v>25</v>
      </c>
      <c r="D898" t="s">
        <v>6</v>
      </c>
      <c r="E898" s="1">
        <v>46200</v>
      </c>
      <c r="F898" s="1">
        <v>46200</v>
      </c>
      <c r="G898">
        <v>1492</v>
      </c>
      <c r="H898">
        <v>245.82</v>
      </c>
    </row>
    <row r="899" spans="1:8" customFormat="1" x14ac:dyDescent="0.35">
      <c r="A899" t="s">
        <v>938</v>
      </c>
      <c r="B899" s="1">
        <v>46199</v>
      </c>
      <c r="C899" t="s">
        <v>31</v>
      </c>
      <c r="D899" t="s">
        <v>6</v>
      </c>
      <c r="E899" s="1">
        <v>46200</v>
      </c>
      <c r="F899" s="1">
        <v>46200</v>
      </c>
      <c r="G899">
        <v>1480</v>
      </c>
      <c r="H899">
        <v>250.95</v>
      </c>
    </row>
    <row r="900" spans="1:8" customFormat="1" x14ac:dyDescent="0.35">
      <c r="A900" t="s">
        <v>939</v>
      </c>
      <c r="B900" s="1">
        <v>46199</v>
      </c>
      <c r="C900" t="s">
        <v>28</v>
      </c>
      <c r="D900" t="s">
        <v>8</v>
      </c>
      <c r="E900" s="1">
        <v>46201</v>
      </c>
      <c r="F900" s="1">
        <v>46201</v>
      </c>
      <c r="G900">
        <v>1994</v>
      </c>
      <c r="H900">
        <v>323.17</v>
      </c>
    </row>
    <row r="901" spans="1:8" customFormat="1" x14ac:dyDescent="0.35">
      <c r="A901" t="s">
        <v>940</v>
      </c>
      <c r="B901" s="1">
        <v>46200</v>
      </c>
      <c r="C901" t="s">
        <v>19</v>
      </c>
      <c r="D901" t="s">
        <v>4</v>
      </c>
      <c r="E901" s="1">
        <v>46202</v>
      </c>
      <c r="F901" s="1">
        <v>46202</v>
      </c>
      <c r="G901">
        <v>457</v>
      </c>
      <c r="H901">
        <v>98.78</v>
      </c>
    </row>
    <row r="902" spans="1:8" customFormat="1" x14ac:dyDescent="0.35">
      <c r="A902" t="s">
        <v>941</v>
      </c>
      <c r="B902" s="1">
        <v>46200</v>
      </c>
      <c r="C902" t="s">
        <v>33</v>
      </c>
      <c r="D902" t="s">
        <v>10</v>
      </c>
      <c r="E902" s="1">
        <v>46202</v>
      </c>
      <c r="F902" s="1">
        <v>46201</v>
      </c>
      <c r="G902">
        <v>917</v>
      </c>
      <c r="H902">
        <v>156.87</v>
      </c>
    </row>
    <row r="903" spans="1:8" customFormat="1" x14ac:dyDescent="0.35">
      <c r="A903" t="s">
        <v>942</v>
      </c>
      <c r="B903" s="1">
        <v>46200</v>
      </c>
      <c r="C903" t="s">
        <v>19</v>
      </c>
      <c r="D903" t="s">
        <v>4</v>
      </c>
      <c r="E903" s="1">
        <v>46201</v>
      </c>
      <c r="F903" s="1">
        <v>46201</v>
      </c>
      <c r="G903">
        <v>162</v>
      </c>
      <c r="H903">
        <v>64.5</v>
      </c>
    </row>
    <row r="904" spans="1:8" customFormat="1" x14ac:dyDescent="0.35">
      <c r="A904" t="s">
        <v>943</v>
      </c>
      <c r="B904" s="1">
        <v>46200</v>
      </c>
      <c r="C904" t="s">
        <v>28</v>
      </c>
      <c r="D904" t="s">
        <v>8</v>
      </c>
      <c r="E904" s="1">
        <v>46202</v>
      </c>
      <c r="F904" s="1">
        <v>46202</v>
      </c>
      <c r="G904">
        <v>1556</v>
      </c>
      <c r="H904">
        <v>255.43</v>
      </c>
    </row>
    <row r="905" spans="1:8" customFormat="1" x14ac:dyDescent="0.35">
      <c r="A905" t="s">
        <v>944</v>
      </c>
      <c r="B905" s="1">
        <v>46200</v>
      </c>
      <c r="C905" t="s">
        <v>31</v>
      </c>
      <c r="D905" t="s">
        <v>6</v>
      </c>
      <c r="E905" s="1">
        <v>46201</v>
      </c>
      <c r="F905" s="1">
        <v>46201</v>
      </c>
      <c r="G905">
        <v>1045</v>
      </c>
      <c r="H905">
        <v>181.41</v>
      </c>
    </row>
    <row r="906" spans="1:8" customFormat="1" x14ac:dyDescent="0.35">
      <c r="A906" t="s">
        <v>945</v>
      </c>
      <c r="B906" s="1">
        <v>46200</v>
      </c>
      <c r="C906" t="s">
        <v>28</v>
      </c>
      <c r="D906" t="s">
        <v>10</v>
      </c>
      <c r="E906" s="1">
        <v>46201</v>
      </c>
      <c r="F906" s="1">
        <v>46201</v>
      </c>
      <c r="G906">
        <v>991</v>
      </c>
      <c r="H906">
        <v>169.65</v>
      </c>
    </row>
    <row r="907" spans="1:8" customFormat="1" x14ac:dyDescent="0.35">
      <c r="A907" t="s">
        <v>946</v>
      </c>
      <c r="B907" s="1">
        <v>46202</v>
      </c>
      <c r="C907" t="s">
        <v>25</v>
      </c>
      <c r="D907" t="s">
        <v>8</v>
      </c>
      <c r="E907" s="1">
        <v>46204</v>
      </c>
      <c r="F907" s="1">
        <v>46204</v>
      </c>
      <c r="G907">
        <v>1918</v>
      </c>
      <c r="H907">
        <v>305.58</v>
      </c>
    </row>
    <row r="908" spans="1:8" customFormat="1" x14ac:dyDescent="0.35">
      <c r="A908" t="s">
        <v>947</v>
      </c>
      <c r="B908" s="1">
        <v>46202</v>
      </c>
      <c r="C908" t="s">
        <v>22</v>
      </c>
      <c r="D908" t="s">
        <v>4</v>
      </c>
      <c r="E908" s="1">
        <v>46204</v>
      </c>
      <c r="F908" s="1">
        <v>46204</v>
      </c>
      <c r="G908">
        <v>969</v>
      </c>
      <c r="H908">
        <v>178.29</v>
      </c>
    </row>
    <row r="909" spans="1:8" customFormat="1" x14ac:dyDescent="0.35">
      <c r="A909" t="s">
        <v>948</v>
      </c>
      <c r="B909" s="1">
        <v>46203</v>
      </c>
      <c r="C909" t="s">
        <v>31</v>
      </c>
      <c r="D909" t="s">
        <v>6</v>
      </c>
      <c r="E909" s="1">
        <v>46205</v>
      </c>
      <c r="F909" s="1">
        <v>46204</v>
      </c>
      <c r="G909">
        <v>1398</v>
      </c>
      <c r="H909">
        <v>243.86</v>
      </c>
    </row>
    <row r="910" spans="1:8" customFormat="1" x14ac:dyDescent="0.35">
      <c r="A910" t="s">
        <v>949</v>
      </c>
      <c r="B910" s="1">
        <v>46203</v>
      </c>
      <c r="C910" t="s">
        <v>19</v>
      </c>
      <c r="D910" t="s">
        <v>10</v>
      </c>
      <c r="E910" s="1">
        <v>46205</v>
      </c>
      <c r="F910" s="1">
        <v>46204</v>
      </c>
      <c r="G910">
        <v>1398</v>
      </c>
      <c r="H910">
        <v>237.69</v>
      </c>
    </row>
    <row r="911" spans="1:8" customFormat="1" x14ac:dyDescent="0.35">
      <c r="A911" t="s">
        <v>950</v>
      </c>
      <c r="B911" s="1">
        <v>46204</v>
      </c>
      <c r="C911" t="s">
        <v>22</v>
      </c>
      <c r="D911" t="s">
        <v>8</v>
      </c>
      <c r="E911" s="1">
        <v>46205</v>
      </c>
      <c r="F911" s="1">
        <v>46204</v>
      </c>
      <c r="G911">
        <v>366</v>
      </c>
      <c r="H911">
        <v>77.89</v>
      </c>
    </row>
    <row r="912" spans="1:8" customFormat="1" x14ac:dyDescent="0.35">
      <c r="A912" t="s">
        <v>951</v>
      </c>
      <c r="B912" s="1">
        <v>46204</v>
      </c>
      <c r="C912" t="s">
        <v>19</v>
      </c>
      <c r="D912" t="s">
        <v>4</v>
      </c>
      <c r="E912" s="1">
        <v>46206</v>
      </c>
      <c r="F912" s="1">
        <v>46206</v>
      </c>
      <c r="G912">
        <v>10</v>
      </c>
      <c r="H912">
        <v>40.39</v>
      </c>
    </row>
    <row r="913" spans="1:8" customFormat="1" x14ac:dyDescent="0.35">
      <c r="A913" t="s">
        <v>952</v>
      </c>
      <c r="B913" s="1">
        <v>46205</v>
      </c>
      <c r="C913" t="s">
        <v>19</v>
      </c>
      <c r="D913" t="s">
        <v>6</v>
      </c>
      <c r="E913" s="1">
        <v>46207</v>
      </c>
      <c r="F913" s="1">
        <v>46207</v>
      </c>
      <c r="G913">
        <v>2383</v>
      </c>
      <c r="H913">
        <v>385.93</v>
      </c>
    </row>
    <row r="914" spans="1:8" customFormat="1" x14ac:dyDescent="0.35">
      <c r="A914" t="s">
        <v>953</v>
      </c>
      <c r="B914" s="1">
        <v>46205</v>
      </c>
      <c r="C914" t="s">
        <v>33</v>
      </c>
      <c r="D914" t="s">
        <v>10</v>
      </c>
      <c r="E914" s="1">
        <v>46206</v>
      </c>
      <c r="F914" s="1">
        <v>46206</v>
      </c>
      <c r="G914">
        <v>1278</v>
      </c>
      <c r="H914">
        <v>213.33</v>
      </c>
    </row>
    <row r="915" spans="1:8" customFormat="1" x14ac:dyDescent="0.35">
      <c r="A915" t="s">
        <v>954</v>
      </c>
      <c r="B915" s="1">
        <v>46205</v>
      </c>
      <c r="C915" t="s">
        <v>19</v>
      </c>
      <c r="D915" t="s">
        <v>8</v>
      </c>
      <c r="E915" s="1">
        <v>46206</v>
      </c>
      <c r="F915" s="1">
        <v>46206</v>
      </c>
      <c r="G915">
        <v>1821</v>
      </c>
      <c r="H915">
        <v>298.89999999999998</v>
      </c>
    </row>
    <row r="916" spans="1:8" customFormat="1" x14ac:dyDescent="0.35">
      <c r="A916" t="s">
        <v>955</v>
      </c>
      <c r="B916" s="1">
        <v>46205</v>
      </c>
      <c r="C916" t="s">
        <v>19</v>
      </c>
      <c r="D916" t="s">
        <v>4</v>
      </c>
      <c r="E916" s="1">
        <v>46207</v>
      </c>
      <c r="F916" s="1">
        <v>46207</v>
      </c>
      <c r="G916">
        <v>1485</v>
      </c>
      <c r="H916">
        <v>262.20999999999998</v>
      </c>
    </row>
    <row r="917" spans="1:8" customFormat="1" x14ac:dyDescent="0.35">
      <c r="A917" t="s">
        <v>956</v>
      </c>
      <c r="B917" s="1">
        <v>46206</v>
      </c>
      <c r="C917" t="s">
        <v>33</v>
      </c>
      <c r="D917" t="s">
        <v>8</v>
      </c>
      <c r="E917" s="1">
        <v>46207</v>
      </c>
      <c r="F917" s="1">
        <v>46207</v>
      </c>
      <c r="G917">
        <v>1275</v>
      </c>
      <c r="H917">
        <v>221.47</v>
      </c>
    </row>
    <row r="918" spans="1:8" customFormat="1" x14ac:dyDescent="0.35">
      <c r="A918" t="s">
        <v>957</v>
      </c>
      <c r="B918" s="1">
        <v>46206</v>
      </c>
      <c r="C918" t="s">
        <v>31</v>
      </c>
      <c r="D918" t="s">
        <v>6</v>
      </c>
      <c r="E918" s="1">
        <v>46208</v>
      </c>
      <c r="F918" s="1">
        <v>46210</v>
      </c>
      <c r="G918">
        <v>1442</v>
      </c>
      <c r="H918">
        <v>242.7</v>
      </c>
    </row>
    <row r="919" spans="1:8" customFormat="1" x14ac:dyDescent="0.35">
      <c r="A919" t="s">
        <v>958</v>
      </c>
      <c r="B919" s="1">
        <v>46206</v>
      </c>
      <c r="C919" t="s">
        <v>31</v>
      </c>
      <c r="D919" t="s">
        <v>12</v>
      </c>
      <c r="E919" s="1">
        <v>46208</v>
      </c>
      <c r="F919" s="1">
        <v>46208</v>
      </c>
      <c r="G919">
        <v>1026</v>
      </c>
      <c r="H919">
        <v>181.9</v>
      </c>
    </row>
    <row r="920" spans="1:8" customFormat="1" x14ac:dyDescent="0.35">
      <c r="A920" t="s">
        <v>959</v>
      </c>
      <c r="B920" s="1">
        <v>46206</v>
      </c>
      <c r="C920" t="s">
        <v>22</v>
      </c>
      <c r="D920" t="s">
        <v>12</v>
      </c>
      <c r="E920" s="1">
        <v>46207</v>
      </c>
      <c r="F920" s="1">
        <v>46207</v>
      </c>
      <c r="G920">
        <v>442</v>
      </c>
      <c r="H920">
        <v>101.69</v>
      </c>
    </row>
    <row r="921" spans="1:8" customFormat="1" x14ac:dyDescent="0.35">
      <c r="A921" t="s">
        <v>960</v>
      </c>
      <c r="B921" s="1">
        <v>46206</v>
      </c>
      <c r="C921" t="s">
        <v>33</v>
      </c>
      <c r="D921" t="s">
        <v>12</v>
      </c>
      <c r="E921" s="1">
        <v>46207</v>
      </c>
      <c r="F921" s="1">
        <v>46207</v>
      </c>
      <c r="G921">
        <v>1047</v>
      </c>
      <c r="H921">
        <v>185.37</v>
      </c>
    </row>
    <row r="922" spans="1:8" customFormat="1" x14ac:dyDescent="0.35">
      <c r="A922" t="s">
        <v>961</v>
      </c>
      <c r="B922" s="1">
        <v>46207</v>
      </c>
      <c r="C922" t="s">
        <v>28</v>
      </c>
      <c r="D922" t="s">
        <v>8</v>
      </c>
      <c r="E922" s="1">
        <v>46209</v>
      </c>
      <c r="F922" s="1">
        <v>46209</v>
      </c>
      <c r="G922">
        <v>231</v>
      </c>
      <c r="H922">
        <v>61.15</v>
      </c>
    </row>
    <row r="923" spans="1:8" customFormat="1" x14ac:dyDescent="0.35">
      <c r="A923" t="s">
        <v>962</v>
      </c>
      <c r="B923" s="1">
        <v>46207</v>
      </c>
      <c r="C923" t="s">
        <v>28</v>
      </c>
      <c r="D923" t="s">
        <v>8</v>
      </c>
      <c r="E923" s="1">
        <v>46208</v>
      </c>
      <c r="F923" s="1">
        <v>46208</v>
      </c>
      <c r="G923">
        <v>210</v>
      </c>
      <c r="H923">
        <v>61.56</v>
      </c>
    </row>
    <row r="924" spans="1:8" customFormat="1" x14ac:dyDescent="0.35">
      <c r="A924" t="s">
        <v>963</v>
      </c>
      <c r="B924" s="1">
        <v>46207</v>
      </c>
      <c r="C924" t="s">
        <v>33</v>
      </c>
      <c r="D924" t="s">
        <v>6</v>
      </c>
      <c r="E924" s="1">
        <v>46208</v>
      </c>
      <c r="F924" s="1">
        <v>46208</v>
      </c>
      <c r="G924">
        <v>1275</v>
      </c>
      <c r="H924">
        <v>224.83</v>
      </c>
    </row>
    <row r="925" spans="1:8" customFormat="1" x14ac:dyDescent="0.35">
      <c r="A925" t="s">
        <v>964</v>
      </c>
      <c r="B925" s="1">
        <v>46207</v>
      </c>
      <c r="C925" t="s">
        <v>31</v>
      </c>
      <c r="D925" t="s">
        <v>8</v>
      </c>
      <c r="E925" s="1">
        <v>46209</v>
      </c>
      <c r="F925" s="1">
        <v>46208</v>
      </c>
      <c r="G925">
        <v>1971</v>
      </c>
      <c r="H925">
        <v>324.76</v>
      </c>
    </row>
    <row r="926" spans="1:8" customFormat="1" x14ac:dyDescent="0.35">
      <c r="A926" t="s">
        <v>965</v>
      </c>
      <c r="B926" s="1">
        <v>46207</v>
      </c>
      <c r="C926" t="s">
        <v>31</v>
      </c>
      <c r="D926" t="s">
        <v>12</v>
      </c>
      <c r="E926" s="1">
        <v>46209</v>
      </c>
      <c r="F926" s="1">
        <v>46209</v>
      </c>
      <c r="G926">
        <v>126</v>
      </c>
      <c r="H926">
        <v>44.02</v>
      </c>
    </row>
    <row r="927" spans="1:8" customFormat="1" x14ac:dyDescent="0.35">
      <c r="A927" t="s">
        <v>966</v>
      </c>
      <c r="B927" s="1">
        <v>46207</v>
      </c>
      <c r="C927" t="s">
        <v>19</v>
      </c>
      <c r="D927" t="s">
        <v>6</v>
      </c>
      <c r="E927" s="1">
        <v>46209</v>
      </c>
      <c r="F927" s="1">
        <v>46209</v>
      </c>
      <c r="G927">
        <v>420</v>
      </c>
      <c r="H927">
        <v>87.97</v>
      </c>
    </row>
    <row r="928" spans="1:8" customFormat="1" x14ac:dyDescent="0.35">
      <c r="A928" t="s">
        <v>967</v>
      </c>
      <c r="B928" s="1">
        <v>46207</v>
      </c>
      <c r="C928" t="s">
        <v>31</v>
      </c>
      <c r="D928" t="s">
        <v>12</v>
      </c>
      <c r="E928" s="1">
        <v>46208</v>
      </c>
      <c r="F928" s="1">
        <v>46208</v>
      </c>
      <c r="G928">
        <v>187</v>
      </c>
      <c r="H928">
        <v>52.94</v>
      </c>
    </row>
    <row r="929" spans="1:8" customFormat="1" x14ac:dyDescent="0.35">
      <c r="A929" t="s">
        <v>968</v>
      </c>
      <c r="B929" s="1">
        <v>46208</v>
      </c>
      <c r="C929" t="s">
        <v>19</v>
      </c>
      <c r="D929" t="s">
        <v>12</v>
      </c>
      <c r="E929" s="1">
        <v>46210</v>
      </c>
      <c r="F929" s="1">
        <v>46210</v>
      </c>
      <c r="G929">
        <v>1725</v>
      </c>
      <c r="H929">
        <v>295.11</v>
      </c>
    </row>
    <row r="930" spans="1:8" customFormat="1" x14ac:dyDescent="0.35">
      <c r="A930" t="s">
        <v>969</v>
      </c>
      <c r="B930" s="1">
        <v>46208</v>
      </c>
      <c r="C930" t="s">
        <v>25</v>
      </c>
      <c r="D930" t="s">
        <v>4</v>
      </c>
      <c r="E930" s="1">
        <v>46209</v>
      </c>
      <c r="F930" s="1">
        <v>46209</v>
      </c>
      <c r="G930">
        <v>1982</v>
      </c>
      <c r="H930">
        <v>326.36</v>
      </c>
    </row>
    <row r="931" spans="1:8" customFormat="1" x14ac:dyDescent="0.35">
      <c r="A931" t="s">
        <v>970</v>
      </c>
      <c r="B931" s="1">
        <v>46208</v>
      </c>
      <c r="C931" t="s">
        <v>19</v>
      </c>
      <c r="D931" t="s">
        <v>10</v>
      </c>
      <c r="E931" s="1">
        <v>46210</v>
      </c>
      <c r="F931" s="1">
        <v>46210</v>
      </c>
      <c r="G931">
        <v>1334</v>
      </c>
      <c r="H931">
        <v>217.21</v>
      </c>
    </row>
    <row r="932" spans="1:8" customFormat="1" x14ac:dyDescent="0.35">
      <c r="A932" t="s">
        <v>971</v>
      </c>
      <c r="B932" s="1">
        <v>46209</v>
      </c>
      <c r="C932" t="s">
        <v>19</v>
      </c>
      <c r="D932" t="s">
        <v>8</v>
      </c>
      <c r="E932" s="1">
        <v>46211</v>
      </c>
      <c r="F932" s="1">
        <v>46210</v>
      </c>
      <c r="G932">
        <v>1221</v>
      </c>
      <c r="H932">
        <v>207.87</v>
      </c>
    </row>
    <row r="933" spans="1:8" customFormat="1" x14ac:dyDescent="0.35">
      <c r="A933" t="s">
        <v>972</v>
      </c>
      <c r="B933" s="1">
        <v>46209</v>
      </c>
      <c r="C933" t="s">
        <v>33</v>
      </c>
      <c r="D933" t="s">
        <v>6</v>
      </c>
      <c r="E933" s="1">
        <v>46211</v>
      </c>
      <c r="F933" s="1">
        <v>46210</v>
      </c>
      <c r="G933">
        <v>2427</v>
      </c>
      <c r="H933">
        <v>390.78</v>
      </c>
    </row>
    <row r="934" spans="1:8" customFormat="1" x14ac:dyDescent="0.35">
      <c r="A934" t="s">
        <v>973</v>
      </c>
      <c r="B934" s="1">
        <v>46209</v>
      </c>
      <c r="C934" t="s">
        <v>28</v>
      </c>
      <c r="D934" t="s">
        <v>12</v>
      </c>
      <c r="E934" s="1">
        <v>46210</v>
      </c>
      <c r="F934" s="1">
        <v>46210</v>
      </c>
      <c r="G934">
        <v>183</v>
      </c>
      <c r="H934">
        <v>64.069999999999993</v>
      </c>
    </row>
    <row r="935" spans="1:8" customFormat="1" x14ac:dyDescent="0.35">
      <c r="A935" t="s">
        <v>974</v>
      </c>
      <c r="B935" s="1">
        <v>46209</v>
      </c>
      <c r="C935" t="s">
        <v>31</v>
      </c>
      <c r="D935" t="s">
        <v>4</v>
      </c>
      <c r="E935" s="1">
        <v>46211</v>
      </c>
      <c r="F935" s="1">
        <v>46210</v>
      </c>
      <c r="G935">
        <v>1121</v>
      </c>
      <c r="H935">
        <v>195.45</v>
      </c>
    </row>
    <row r="936" spans="1:8" customFormat="1" x14ac:dyDescent="0.35">
      <c r="A936" t="s">
        <v>975</v>
      </c>
      <c r="B936" s="1">
        <v>46209</v>
      </c>
      <c r="C936" t="s">
        <v>31</v>
      </c>
      <c r="D936" t="s">
        <v>6</v>
      </c>
      <c r="E936" s="1">
        <v>46210</v>
      </c>
      <c r="F936" s="1">
        <v>46210</v>
      </c>
      <c r="G936">
        <v>1715</v>
      </c>
      <c r="H936">
        <v>292.81</v>
      </c>
    </row>
    <row r="937" spans="1:8" customFormat="1" x14ac:dyDescent="0.35">
      <c r="A937" t="s">
        <v>976</v>
      </c>
      <c r="B937" s="1">
        <v>46210</v>
      </c>
      <c r="C937" t="s">
        <v>33</v>
      </c>
      <c r="D937" t="s">
        <v>12</v>
      </c>
      <c r="E937" s="1">
        <v>46212</v>
      </c>
      <c r="F937" s="1">
        <v>46212</v>
      </c>
      <c r="G937">
        <v>1265</v>
      </c>
      <c r="H937">
        <v>216.23</v>
      </c>
    </row>
    <row r="938" spans="1:8" customFormat="1" x14ac:dyDescent="0.35">
      <c r="A938" t="s">
        <v>977</v>
      </c>
      <c r="B938" s="1">
        <v>46210</v>
      </c>
      <c r="C938" t="s">
        <v>25</v>
      </c>
      <c r="D938" t="s">
        <v>10</v>
      </c>
      <c r="E938" s="1">
        <v>46211</v>
      </c>
      <c r="F938" s="1">
        <v>46211</v>
      </c>
      <c r="G938">
        <v>1012</v>
      </c>
      <c r="H938">
        <v>165.48</v>
      </c>
    </row>
    <row r="939" spans="1:8" customFormat="1" x14ac:dyDescent="0.35">
      <c r="A939" t="s">
        <v>978</v>
      </c>
      <c r="B939" s="1">
        <v>46211</v>
      </c>
      <c r="C939" t="s">
        <v>31</v>
      </c>
      <c r="D939" t="s">
        <v>12</v>
      </c>
      <c r="E939" s="1">
        <v>46213</v>
      </c>
      <c r="F939" s="1">
        <v>46212</v>
      </c>
      <c r="G939">
        <v>456</v>
      </c>
      <c r="H939">
        <v>98.55</v>
      </c>
    </row>
    <row r="940" spans="1:8" customFormat="1" x14ac:dyDescent="0.35">
      <c r="A940" t="s">
        <v>979</v>
      </c>
      <c r="B940" s="1">
        <v>46211</v>
      </c>
      <c r="C940" t="s">
        <v>19</v>
      </c>
      <c r="D940" t="s">
        <v>4</v>
      </c>
      <c r="E940" s="1">
        <v>46212</v>
      </c>
      <c r="F940" s="1">
        <v>46211</v>
      </c>
      <c r="G940">
        <v>829</v>
      </c>
      <c r="H940">
        <v>153.62</v>
      </c>
    </row>
    <row r="941" spans="1:8" customFormat="1" x14ac:dyDescent="0.35">
      <c r="A941" t="s">
        <v>980</v>
      </c>
      <c r="B941" s="1">
        <v>46212</v>
      </c>
      <c r="C941" t="s">
        <v>25</v>
      </c>
      <c r="D941" t="s">
        <v>6</v>
      </c>
      <c r="E941" s="1">
        <v>46214</v>
      </c>
      <c r="F941" s="1">
        <v>46214</v>
      </c>
      <c r="G941">
        <v>109</v>
      </c>
      <c r="H941">
        <v>52.75</v>
      </c>
    </row>
    <row r="942" spans="1:8" customFormat="1" x14ac:dyDescent="0.35">
      <c r="A942" t="s">
        <v>981</v>
      </c>
      <c r="B942" s="1">
        <v>46213</v>
      </c>
      <c r="C942" t="s">
        <v>31</v>
      </c>
      <c r="D942" t="s">
        <v>4</v>
      </c>
      <c r="E942" s="1">
        <v>46215</v>
      </c>
      <c r="F942" s="1">
        <v>46214</v>
      </c>
      <c r="G942">
        <v>1928</v>
      </c>
      <c r="H942">
        <v>317.16000000000003</v>
      </c>
    </row>
    <row r="943" spans="1:8" customFormat="1" x14ac:dyDescent="0.35">
      <c r="A943" t="s">
        <v>982</v>
      </c>
      <c r="B943" s="1">
        <v>46213</v>
      </c>
      <c r="C943" t="s">
        <v>22</v>
      </c>
      <c r="D943" t="s">
        <v>8</v>
      </c>
      <c r="E943" s="1">
        <v>46215</v>
      </c>
      <c r="F943" s="1">
        <v>46215</v>
      </c>
      <c r="G943">
        <v>1496</v>
      </c>
      <c r="H943">
        <v>254.35</v>
      </c>
    </row>
    <row r="944" spans="1:8" customFormat="1" x14ac:dyDescent="0.35">
      <c r="A944" t="s">
        <v>983</v>
      </c>
      <c r="B944" s="1">
        <v>46213</v>
      </c>
      <c r="C944" t="s">
        <v>31</v>
      </c>
      <c r="D944" t="s">
        <v>4</v>
      </c>
      <c r="E944" s="1">
        <v>46214</v>
      </c>
      <c r="F944" s="1">
        <v>46214</v>
      </c>
      <c r="G944">
        <v>1249</v>
      </c>
      <c r="H944">
        <v>228.51</v>
      </c>
    </row>
    <row r="945" spans="1:8" customFormat="1" x14ac:dyDescent="0.35">
      <c r="A945" t="s">
        <v>984</v>
      </c>
      <c r="B945" s="1">
        <v>46213</v>
      </c>
      <c r="C945" t="s">
        <v>25</v>
      </c>
      <c r="D945" t="s">
        <v>6</v>
      </c>
      <c r="E945" s="1">
        <v>46214</v>
      </c>
      <c r="F945" s="1">
        <v>46213</v>
      </c>
      <c r="G945">
        <v>2073</v>
      </c>
      <c r="H945">
        <v>340.09</v>
      </c>
    </row>
    <row r="946" spans="1:8" customFormat="1" x14ac:dyDescent="0.35">
      <c r="A946" t="s">
        <v>985</v>
      </c>
      <c r="B946" s="1">
        <v>46213</v>
      </c>
      <c r="C946" t="s">
        <v>28</v>
      </c>
      <c r="D946" t="s">
        <v>12</v>
      </c>
      <c r="E946" s="1">
        <v>46215</v>
      </c>
      <c r="F946" s="1">
        <v>46215</v>
      </c>
      <c r="G946">
        <v>776</v>
      </c>
      <c r="H946">
        <v>143.47</v>
      </c>
    </row>
    <row r="947" spans="1:8" customFormat="1" x14ac:dyDescent="0.35">
      <c r="A947" t="s">
        <v>986</v>
      </c>
      <c r="B947" s="1">
        <v>46214</v>
      </c>
      <c r="C947" t="s">
        <v>19</v>
      </c>
      <c r="D947" t="s">
        <v>10</v>
      </c>
      <c r="E947" s="1">
        <v>46216</v>
      </c>
      <c r="F947" s="1">
        <v>46216</v>
      </c>
      <c r="G947">
        <v>119</v>
      </c>
      <c r="H947">
        <v>40.049999999999997</v>
      </c>
    </row>
    <row r="948" spans="1:8" customFormat="1" x14ac:dyDescent="0.35">
      <c r="A948" t="s">
        <v>987</v>
      </c>
      <c r="B948" s="1">
        <v>46214</v>
      </c>
      <c r="C948" t="s">
        <v>22</v>
      </c>
      <c r="D948" t="s">
        <v>6</v>
      </c>
      <c r="E948" s="1">
        <v>46216</v>
      </c>
      <c r="F948" s="1">
        <v>46216</v>
      </c>
      <c r="G948">
        <v>2313</v>
      </c>
      <c r="H948">
        <v>375.91</v>
      </c>
    </row>
    <row r="949" spans="1:8" customFormat="1" x14ac:dyDescent="0.35">
      <c r="A949" t="s">
        <v>988</v>
      </c>
      <c r="B949" s="1">
        <v>46214</v>
      </c>
      <c r="C949" t="s">
        <v>19</v>
      </c>
      <c r="D949" t="s">
        <v>12</v>
      </c>
      <c r="E949" s="1">
        <v>46215</v>
      </c>
      <c r="F949" s="1">
        <v>46215</v>
      </c>
      <c r="G949">
        <v>2408</v>
      </c>
      <c r="H949">
        <v>385.78</v>
      </c>
    </row>
    <row r="950" spans="1:8" customFormat="1" x14ac:dyDescent="0.35">
      <c r="A950" t="s">
        <v>989</v>
      </c>
      <c r="B950" s="1">
        <v>46214</v>
      </c>
      <c r="C950" t="s">
        <v>33</v>
      </c>
      <c r="D950" t="s">
        <v>8</v>
      </c>
      <c r="E950" s="1">
        <v>46216</v>
      </c>
      <c r="F950" s="1">
        <v>46216</v>
      </c>
      <c r="G950">
        <v>858</v>
      </c>
      <c r="H950">
        <v>149.34</v>
      </c>
    </row>
    <row r="951" spans="1:8" customFormat="1" x14ac:dyDescent="0.35">
      <c r="A951" t="s">
        <v>990</v>
      </c>
      <c r="B951" s="1">
        <v>46215</v>
      </c>
      <c r="C951" t="s">
        <v>28</v>
      </c>
      <c r="D951" t="s">
        <v>12</v>
      </c>
      <c r="E951" s="1">
        <v>46217</v>
      </c>
      <c r="F951" s="1">
        <v>46218</v>
      </c>
      <c r="G951">
        <v>1093</v>
      </c>
      <c r="H951">
        <v>195.9</v>
      </c>
    </row>
    <row r="952" spans="1:8" customFormat="1" x14ac:dyDescent="0.35">
      <c r="A952" t="s">
        <v>991</v>
      </c>
      <c r="B952" s="1">
        <v>46215</v>
      </c>
      <c r="C952" t="s">
        <v>22</v>
      </c>
      <c r="D952" t="s">
        <v>8</v>
      </c>
      <c r="E952" s="1">
        <v>46217</v>
      </c>
      <c r="F952" s="1">
        <v>46217</v>
      </c>
      <c r="G952">
        <v>1400</v>
      </c>
      <c r="H952">
        <v>228.9</v>
      </c>
    </row>
    <row r="953" spans="1:8" customFormat="1" x14ac:dyDescent="0.35">
      <c r="A953" t="s">
        <v>992</v>
      </c>
      <c r="B953" s="1">
        <v>46216</v>
      </c>
      <c r="C953" t="s">
        <v>33</v>
      </c>
      <c r="D953" t="s">
        <v>10</v>
      </c>
      <c r="E953" s="1">
        <v>46217</v>
      </c>
      <c r="F953" s="1">
        <v>46217</v>
      </c>
      <c r="G953">
        <v>233</v>
      </c>
      <c r="H953">
        <v>48.37</v>
      </c>
    </row>
    <row r="954" spans="1:8" customFormat="1" x14ac:dyDescent="0.35">
      <c r="A954" t="s">
        <v>993</v>
      </c>
      <c r="B954" s="1">
        <v>46217</v>
      </c>
      <c r="C954" t="s">
        <v>22</v>
      </c>
      <c r="D954" t="s">
        <v>4</v>
      </c>
      <c r="E954" s="1">
        <v>46218</v>
      </c>
      <c r="F954" s="1">
        <v>46218</v>
      </c>
      <c r="G954">
        <v>1804</v>
      </c>
      <c r="H954">
        <v>297.62</v>
      </c>
    </row>
    <row r="955" spans="1:8" customFormat="1" x14ac:dyDescent="0.35">
      <c r="A955" t="s">
        <v>994</v>
      </c>
      <c r="B955" s="1">
        <v>46217</v>
      </c>
      <c r="C955" t="s">
        <v>19</v>
      </c>
      <c r="D955" t="s">
        <v>6</v>
      </c>
      <c r="E955" s="1">
        <v>46219</v>
      </c>
      <c r="F955" s="1">
        <v>46219</v>
      </c>
      <c r="G955">
        <v>529</v>
      </c>
      <c r="H955">
        <v>111.62</v>
      </c>
    </row>
    <row r="956" spans="1:8" customFormat="1" x14ac:dyDescent="0.35">
      <c r="A956" t="s">
        <v>995</v>
      </c>
      <c r="B956" s="1">
        <v>46217</v>
      </c>
      <c r="C956" t="s">
        <v>31</v>
      </c>
      <c r="D956" t="s">
        <v>12</v>
      </c>
      <c r="E956" s="1">
        <v>46218</v>
      </c>
      <c r="F956" s="1">
        <v>46218</v>
      </c>
      <c r="G956">
        <v>1395</v>
      </c>
      <c r="H956">
        <v>240.94</v>
      </c>
    </row>
    <row r="957" spans="1:8" customFormat="1" x14ac:dyDescent="0.35">
      <c r="A957" t="s">
        <v>996</v>
      </c>
      <c r="B957" s="1">
        <v>46218</v>
      </c>
      <c r="C957" t="s">
        <v>28</v>
      </c>
      <c r="D957" t="s">
        <v>4</v>
      </c>
      <c r="E957" s="1">
        <v>46219</v>
      </c>
      <c r="F957" s="1">
        <v>46219</v>
      </c>
      <c r="G957">
        <v>1739</v>
      </c>
      <c r="H957">
        <v>297.76</v>
      </c>
    </row>
    <row r="958" spans="1:8" customFormat="1" x14ac:dyDescent="0.35">
      <c r="A958" t="s">
        <v>997</v>
      </c>
      <c r="B958" s="1">
        <v>46218</v>
      </c>
      <c r="C958" t="s">
        <v>33</v>
      </c>
      <c r="D958" t="s">
        <v>10</v>
      </c>
      <c r="E958" s="1">
        <v>46219</v>
      </c>
      <c r="F958" s="1">
        <v>46219</v>
      </c>
      <c r="G958">
        <v>983</v>
      </c>
      <c r="H958">
        <v>161.44</v>
      </c>
    </row>
    <row r="959" spans="1:8" customFormat="1" x14ac:dyDescent="0.35">
      <c r="A959" t="s">
        <v>998</v>
      </c>
      <c r="B959" s="1">
        <v>46219</v>
      </c>
      <c r="C959" t="s">
        <v>33</v>
      </c>
      <c r="D959" t="s">
        <v>4</v>
      </c>
      <c r="E959" s="1">
        <v>46220</v>
      </c>
      <c r="F959" s="1">
        <v>46219</v>
      </c>
      <c r="G959">
        <v>1903</v>
      </c>
      <c r="H959">
        <v>317.64</v>
      </c>
    </row>
    <row r="960" spans="1:8" customFormat="1" x14ac:dyDescent="0.35">
      <c r="A960" t="s">
        <v>999</v>
      </c>
      <c r="B960" s="1">
        <v>46219</v>
      </c>
      <c r="C960" t="s">
        <v>33</v>
      </c>
      <c r="D960" t="s">
        <v>12</v>
      </c>
      <c r="E960" s="1">
        <v>46220</v>
      </c>
      <c r="F960" s="1">
        <v>46219</v>
      </c>
      <c r="G960">
        <v>741</v>
      </c>
      <c r="H960">
        <v>149.94</v>
      </c>
    </row>
    <row r="961" spans="1:8" customFormat="1" x14ac:dyDescent="0.35">
      <c r="A961" t="s">
        <v>1000</v>
      </c>
      <c r="B961" s="1">
        <v>46219</v>
      </c>
      <c r="C961" t="s">
        <v>19</v>
      </c>
      <c r="D961" t="s">
        <v>10</v>
      </c>
      <c r="E961" s="1">
        <v>46220</v>
      </c>
      <c r="F961" s="1">
        <v>46220</v>
      </c>
      <c r="G961">
        <v>44</v>
      </c>
      <c r="H961">
        <v>23.21</v>
      </c>
    </row>
    <row r="962" spans="1:8" customFormat="1" x14ac:dyDescent="0.35">
      <c r="A962" t="s">
        <v>1001</v>
      </c>
      <c r="B962" s="1">
        <v>46219</v>
      </c>
      <c r="C962" t="s">
        <v>25</v>
      </c>
      <c r="D962" t="s">
        <v>6</v>
      </c>
      <c r="E962" s="1">
        <v>46220</v>
      </c>
      <c r="F962" s="1">
        <v>46219</v>
      </c>
      <c r="G962">
        <v>2226</v>
      </c>
      <c r="H962">
        <v>356.13</v>
      </c>
    </row>
    <row r="963" spans="1:8" customFormat="1" x14ac:dyDescent="0.35">
      <c r="A963" t="s">
        <v>1002</v>
      </c>
      <c r="B963" s="1">
        <v>46219</v>
      </c>
      <c r="C963" t="s">
        <v>19</v>
      </c>
      <c r="D963" t="s">
        <v>6</v>
      </c>
      <c r="E963" s="1">
        <v>46220</v>
      </c>
      <c r="F963" s="1">
        <v>46219</v>
      </c>
      <c r="G963">
        <v>176</v>
      </c>
      <c r="H963">
        <v>54.58</v>
      </c>
    </row>
    <row r="964" spans="1:8" customFormat="1" x14ac:dyDescent="0.35">
      <c r="A964" t="s">
        <v>1003</v>
      </c>
      <c r="B964" s="1">
        <v>46219</v>
      </c>
      <c r="C964" t="s">
        <v>25</v>
      </c>
      <c r="D964" t="s">
        <v>10</v>
      </c>
      <c r="E964" s="1">
        <v>46220</v>
      </c>
      <c r="F964" s="1">
        <v>46220</v>
      </c>
      <c r="G964">
        <v>1168</v>
      </c>
      <c r="H964">
        <v>188.82</v>
      </c>
    </row>
    <row r="965" spans="1:8" customFormat="1" x14ac:dyDescent="0.35">
      <c r="A965" t="s">
        <v>1004</v>
      </c>
      <c r="B965" s="1">
        <v>46219</v>
      </c>
      <c r="C965" t="s">
        <v>22</v>
      </c>
      <c r="D965" t="s">
        <v>10</v>
      </c>
      <c r="E965" s="1">
        <v>46220</v>
      </c>
      <c r="F965" s="1">
        <v>46219</v>
      </c>
      <c r="G965">
        <v>1097</v>
      </c>
      <c r="H965">
        <v>180.9</v>
      </c>
    </row>
    <row r="966" spans="1:8" customFormat="1" x14ac:dyDescent="0.35">
      <c r="A966" t="s">
        <v>1005</v>
      </c>
      <c r="B966" s="1">
        <v>46220</v>
      </c>
      <c r="C966" t="s">
        <v>28</v>
      </c>
      <c r="D966" t="s">
        <v>10</v>
      </c>
      <c r="E966" s="1">
        <v>46221</v>
      </c>
      <c r="F966" s="1">
        <v>46220</v>
      </c>
      <c r="G966">
        <v>1884</v>
      </c>
      <c r="H966">
        <v>296.39999999999998</v>
      </c>
    </row>
    <row r="967" spans="1:8" customFormat="1" x14ac:dyDescent="0.35">
      <c r="A967" t="s">
        <v>1006</v>
      </c>
      <c r="B967" s="1">
        <v>46220</v>
      </c>
      <c r="C967" t="s">
        <v>31</v>
      </c>
      <c r="D967" t="s">
        <v>12</v>
      </c>
      <c r="E967" s="1">
        <v>46221</v>
      </c>
      <c r="F967" s="1">
        <v>46221</v>
      </c>
      <c r="G967">
        <v>883</v>
      </c>
      <c r="H967">
        <v>167.81</v>
      </c>
    </row>
    <row r="968" spans="1:8" customFormat="1" x14ac:dyDescent="0.35">
      <c r="A968" t="s">
        <v>1007</v>
      </c>
      <c r="B968" s="1">
        <v>46220</v>
      </c>
      <c r="C968" t="s">
        <v>19</v>
      </c>
      <c r="D968" t="s">
        <v>12</v>
      </c>
      <c r="E968" s="1">
        <v>46221</v>
      </c>
      <c r="F968" s="1">
        <v>46221</v>
      </c>
      <c r="G968">
        <v>1619</v>
      </c>
      <c r="H968">
        <v>280.66000000000003</v>
      </c>
    </row>
    <row r="969" spans="1:8" customFormat="1" x14ac:dyDescent="0.35">
      <c r="A969" t="s">
        <v>1008</v>
      </c>
      <c r="B969" s="1">
        <v>46221</v>
      </c>
      <c r="C969" t="s">
        <v>25</v>
      </c>
      <c r="D969" t="s">
        <v>12</v>
      </c>
      <c r="E969" s="1">
        <v>46223</v>
      </c>
      <c r="F969" s="1">
        <v>46224</v>
      </c>
      <c r="G969">
        <v>510</v>
      </c>
      <c r="H969">
        <v>114.64</v>
      </c>
    </row>
    <row r="970" spans="1:8" customFormat="1" x14ac:dyDescent="0.35">
      <c r="A970" t="s">
        <v>1009</v>
      </c>
      <c r="B970" s="1">
        <v>46221</v>
      </c>
      <c r="C970" t="s">
        <v>28</v>
      </c>
      <c r="D970" t="s">
        <v>4</v>
      </c>
      <c r="E970" s="1">
        <v>46222</v>
      </c>
      <c r="F970" s="1">
        <v>46221</v>
      </c>
      <c r="G970">
        <v>405</v>
      </c>
      <c r="H970">
        <v>98.42</v>
      </c>
    </row>
    <row r="971" spans="1:8" customFormat="1" x14ac:dyDescent="0.35">
      <c r="A971" t="s">
        <v>1010</v>
      </c>
      <c r="B971" s="1">
        <v>46221</v>
      </c>
      <c r="C971" t="s">
        <v>25</v>
      </c>
      <c r="D971" t="s">
        <v>12</v>
      </c>
      <c r="E971" s="1">
        <v>46222</v>
      </c>
      <c r="F971" s="1">
        <v>46222</v>
      </c>
      <c r="G971">
        <v>617</v>
      </c>
      <c r="H971">
        <v>117.82</v>
      </c>
    </row>
    <row r="972" spans="1:8" customFormat="1" x14ac:dyDescent="0.35">
      <c r="A972" t="s">
        <v>1011</v>
      </c>
      <c r="B972" s="1">
        <v>46221</v>
      </c>
      <c r="C972" t="s">
        <v>22</v>
      </c>
      <c r="D972" t="s">
        <v>6</v>
      </c>
      <c r="E972" s="1">
        <v>46223</v>
      </c>
      <c r="F972" s="1">
        <v>46226</v>
      </c>
      <c r="G972">
        <v>1217</v>
      </c>
      <c r="H972">
        <v>204.6</v>
      </c>
    </row>
    <row r="973" spans="1:8" customFormat="1" x14ac:dyDescent="0.35">
      <c r="A973" t="s">
        <v>1012</v>
      </c>
      <c r="B973" s="1">
        <v>46221</v>
      </c>
      <c r="C973" t="s">
        <v>22</v>
      </c>
      <c r="D973" t="s">
        <v>8</v>
      </c>
      <c r="E973" s="1">
        <v>46223</v>
      </c>
      <c r="F973" s="1">
        <v>46222</v>
      </c>
      <c r="G973">
        <v>1662</v>
      </c>
      <c r="H973">
        <v>265.99</v>
      </c>
    </row>
    <row r="974" spans="1:8" customFormat="1" x14ac:dyDescent="0.35">
      <c r="A974" t="s">
        <v>1013</v>
      </c>
      <c r="B974" s="1">
        <v>46221</v>
      </c>
      <c r="C974" t="s">
        <v>31</v>
      </c>
      <c r="D974" t="s">
        <v>8</v>
      </c>
      <c r="E974" s="1">
        <v>46222</v>
      </c>
      <c r="F974" s="1">
        <v>46224</v>
      </c>
      <c r="G974">
        <v>2206</v>
      </c>
      <c r="H974">
        <v>359.17</v>
      </c>
    </row>
    <row r="975" spans="1:8" customFormat="1" x14ac:dyDescent="0.35">
      <c r="A975" t="s">
        <v>1014</v>
      </c>
      <c r="B975" s="1">
        <v>46221</v>
      </c>
      <c r="C975" t="s">
        <v>28</v>
      </c>
      <c r="D975" t="s">
        <v>8</v>
      </c>
      <c r="E975" s="1">
        <v>46223</v>
      </c>
      <c r="F975" s="1">
        <v>46223</v>
      </c>
      <c r="G975">
        <v>1077</v>
      </c>
      <c r="H975">
        <v>180.55</v>
      </c>
    </row>
    <row r="976" spans="1:8" customFormat="1" x14ac:dyDescent="0.35">
      <c r="A976" t="s">
        <v>1015</v>
      </c>
      <c r="B976" s="1">
        <v>46222</v>
      </c>
      <c r="C976" t="s">
        <v>25</v>
      </c>
      <c r="D976" t="s">
        <v>6</v>
      </c>
      <c r="E976" s="1">
        <v>46223</v>
      </c>
      <c r="F976" s="1">
        <v>46223</v>
      </c>
      <c r="G976">
        <v>2356</v>
      </c>
      <c r="H976">
        <v>381.02</v>
      </c>
    </row>
    <row r="977" spans="1:8" customFormat="1" x14ac:dyDescent="0.35">
      <c r="A977" t="s">
        <v>1016</v>
      </c>
      <c r="B977" s="1">
        <v>46222</v>
      </c>
      <c r="C977" t="s">
        <v>19</v>
      </c>
      <c r="D977" t="s">
        <v>8</v>
      </c>
      <c r="E977" s="1">
        <v>46223</v>
      </c>
      <c r="F977" s="1">
        <v>46222</v>
      </c>
      <c r="G977">
        <v>2353</v>
      </c>
      <c r="H977">
        <v>381.05</v>
      </c>
    </row>
    <row r="978" spans="1:8" customFormat="1" x14ac:dyDescent="0.35">
      <c r="A978" t="s">
        <v>1017</v>
      </c>
      <c r="B978" s="1">
        <v>46222</v>
      </c>
      <c r="C978" t="s">
        <v>33</v>
      </c>
      <c r="D978" t="s">
        <v>12</v>
      </c>
      <c r="E978" s="1">
        <v>46223</v>
      </c>
      <c r="F978" s="1">
        <v>46223</v>
      </c>
      <c r="G978">
        <v>1983</v>
      </c>
      <c r="H978">
        <v>326.54000000000002</v>
      </c>
    </row>
    <row r="979" spans="1:8" customFormat="1" x14ac:dyDescent="0.35">
      <c r="A979" t="s">
        <v>1018</v>
      </c>
      <c r="B979" s="1">
        <v>46222</v>
      </c>
      <c r="C979" t="s">
        <v>28</v>
      </c>
      <c r="D979" t="s">
        <v>6</v>
      </c>
      <c r="E979" s="1">
        <v>46224</v>
      </c>
      <c r="F979" s="1">
        <v>46224</v>
      </c>
      <c r="G979">
        <v>1597</v>
      </c>
      <c r="H979">
        <v>268.67</v>
      </c>
    </row>
    <row r="980" spans="1:8" customFormat="1" x14ac:dyDescent="0.35">
      <c r="A980" t="s">
        <v>1019</v>
      </c>
      <c r="B980" s="1">
        <v>46223</v>
      </c>
      <c r="C980" t="s">
        <v>28</v>
      </c>
      <c r="D980" t="s">
        <v>12</v>
      </c>
      <c r="E980" s="1">
        <v>46224</v>
      </c>
      <c r="F980" s="1">
        <v>46223</v>
      </c>
      <c r="G980">
        <v>655</v>
      </c>
      <c r="H980">
        <v>129.65</v>
      </c>
    </row>
    <row r="981" spans="1:8" customFormat="1" x14ac:dyDescent="0.35">
      <c r="A981" t="s">
        <v>1020</v>
      </c>
      <c r="B981" s="1">
        <v>46223</v>
      </c>
      <c r="C981" t="s">
        <v>33</v>
      </c>
      <c r="D981" t="s">
        <v>10</v>
      </c>
      <c r="E981" s="1">
        <v>46225</v>
      </c>
      <c r="F981" s="1">
        <v>46226</v>
      </c>
      <c r="G981">
        <v>791</v>
      </c>
      <c r="H981">
        <v>133.58000000000001</v>
      </c>
    </row>
    <row r="982" spans="1:8" customFormat="1" x14ac:dyDescent="0.35">
      <c r="A982" t="s">
        <v>1021</v>
      </c>
      <c r="B982" s="1">
        <v>46224</v>
      </c>
      <c r="C982" t="s">
        <v>33</v>
      </c>
      <c r="D982" t="s">
        <v>10</v>
      </c>
      <c r="E982" s="1">
        <v>46225</v>
      </c>
      <c r="F982" s="1">
        <v>46226</v>
      </c>
      <c r="G982">
        <v>381</v>
      </c>
      <c r="H982">
        <v>70.64</v>
      </c>
    </row>
    <row r="983" spans="1:8" customFormat="1" x14ac:dyDescent="0.35">
      <c r="A983" t="s">
        <v>1022</v>
      </c>
      <c r="B983" s="1">
        <v>46224</v>
      </c>
      <c r="C983" t="s">
        <v>33</v>
      </c>
      <c r="D983" t="s">
        <v>6</v>
      </c>
      <c r="E983" s="1">
        <v>46225</v>
      </c>
      <c r="F983" s="1">
        <v>46224</v>
      </c>
      <c r="G983">
        <v>1306</v>
      </c>
      <c r="H983">
        <v>226.27</v>
      </c>
    </row>
    <row r="984" spans="1:8" customFormat="1" x14ac:dyDescent="0.35">
      <c r="A984" t="s">
        <v>1023</v>
      </c>
      <c r="B984" s="1">
        <v>46225</v>
      </c>
      <c r="C984" t="s">
        <v>33</v>
      </c>
      <c r="D984" t="s">
        <v>10</v>
      </c>
      <c r="E984" s="1">
        <v>46226</v>
      </c>
      <c r="F984" s="1">
        <v>46225</v>
      </c>
      <c r="G984">
        <v>1619</v>
      </c>
      <c r="H984">
        <v>261.58</v>
      </c>
    </row>
    <row r="985" spans="1:8" customFormat="1" x14ac:dyDescent="0.35">
      <c r="A985" t="s">
        <v>1024</v>
      </c>
      <c r="B985" s="1">
        <v>46226</v>
      </c>
      <c r="C985" t="s">
        <v>31</v>
      </c>
      <c r="D985" t="s">
        <v>10</v>
      </c>
      <c r="E985" s="1">
        <v>46227</v>
      </c>
      <c r="F985" s="1">
        <v>46227</v>
      </c>
      <c r="G985">
        <v>2014</v>
      </c>
      <c r="H985">
        <v>324.58</v>
      </c>
    </row>
    <row r="986" spans="1:8" customFormat="1" x14ac:dyDescent="0.35">
      <c r="A986" t="s">
        <v>1025</v>
      </c>
      <c r="B986" s="1">
        <v>46226</v>
      </c>
      <c r="C986" t="s">
        <v>25</v>
      </c>
      <c r="D986" t="s">
        <v>4</v>
      </c>
      <c r="E986" s="1">
        <v>46228</v>
      </c>
      <c r="F986" s="1">
        <v>46228</v>
      </c>
      <c r="G986">
        <v>1290</v>
      </c>
      <c r="H986">
        <v>234.49</v>
      </c>
    </row>
    <row r="987" spans="1:8" customFormat="1" x14ac:dyDescent="0.35">
      <c r="A987" t="s">
        <v>1026</v>
      </c>
      <c r="B987" s="1">
        <v>46227</v>
      </c>
      <c r="C987" t="s">
        <v>28</v>
      </c>
      <c r="D987" t="s">
        <v>4</v>
      </c>
      <c r="E987" s="1">
        <v>46228</v>
      </c>
      <c r="F987" s="1">
        <v>46228</v>
      </c>
      <c r="G987">
        <v>990</v>
      </c>
      <c r="H987">
        <v>185.65</v>
      </c>
    </row>
    <row r="988" spans="1:8" customFormat="1" x14ac:dyDescent="0.35">
      <c r="A988" t="s">
        <v>1027</v>
      </c>
      <c r="B988" s="1">
        <v>46227</v>
      </c>
      <c r="C988" t="s">
        <v>22</v>
      </c>
      <c r="D988" t="s">
        <v>6</v>
      </c>
      <c r="E988" s="1">
        <v>46229</v>
      </c>
      <c r="F988" s="1">
        <v>46229</v>
      </c>
      <c r="G988">
        <v>2350</v>
      </c>
      <c r="H988">
        <v>377.19</v>
      </c>
    </row>
    <row r="989" spans="1:8" customFormat="1" x14ac:dyDescent="0.35">
      <c r="A989" t="s">
        <v>1028</v>
      </c>
      <c r="B989" s="1">
        <v>46227</v>
      </c>
      <c r="C989" t="s">
        <v>33</v>
      </c>
      <c r="D989" t="s">
        <v>8</v>
      </c>
      <c r="E989" s="1">
        <v>46228</v>
      </c>
      <c r="F989" s="1">
        <v>46228</v>
      </c>
      <c r="G989">
        <v>598</v>
      </c>
      <c r="H989">
        <v>106.29</v>
      </c>
    </row>
    <row r="990" spans="1:8" customFormat="1" x14ac:dyDescent="0.35">
      <c r="A990" t="s">
        <v>1029</v>
      </c>
      <c r="B990" s="1">
        <v>46229</v>
      </c>
      <c r="C990" t="s">
        <v>19</v>
      </c>
      <c r="D990" t="s">
        <v>10</v>
      </c>
      <c r="E990" s="1">
        <v>46230</v>
      </c>
      <c r="F990" s="1">
        <v>46229</v>
      </c>
      <c r="G990">
        <v>1895</v>
      </c>
      <c r="H990">
        <v>302.74</v>
      </c>
    </row>
    <row r="991" spans="1:8" customFormat="1" x14ac:dyDescent="0.35">
      <c r="A991" t="s">
        <v>1030</v>
      </c>
      <c r="B991" s="1">
        <v>46229</v>
      </c>
      <c r="C991" t="s">
        <v>31</v>
      </c>
      <c r="D991" t="s">
        <v>10</v>
      </c>
      <c r="E991" s="1">
        <v>46230</v>
      </c>
      <c r="F991" s="1">
        <v>46230</v>
      </c>
      <c r="G991">
        <v>2450</v>
      </c>
      <c r="H991">
        <v>393.85</v>
      </c>
    </row>
    <row r="992" spans="1:8" customFormat="1" x14ac:dyDescent="0.35">
      <c r="A992" t="s">
        <v>1031</v>
      </c>
      <c r="B992" s="1">
        <v>46229</v>
      </c>
      <c r="C992" t="s">
        <v>31</v>
      </c>
      <c r="D992" t="s">
        <v>8</v>
      </c>
      <c r="E992" s="1">
        <v>46230</v>
      </c>
      <c r="F992" s="1">
        <v>46230</v>
      </c>
      <c r="G992">
        <v>1200</v>
      </c>
      <c r="H992">
        <v>206.7</v>
      </c>
    </row>
    <row r="993" spans="1:8" customFormat="1" x14ac:dyDescent="0.35">
      <c r="A993" t="s">
        <v>1032</v>
      </c>
      <c r="B993" s="1">
        <v>46230</v>
      </c>
      <c r="C993" t="s">
        <v>19</v>
      </c>
      <c r="D993" t="s">
        <v>4</v>
      </c>
      <c r="E993" s="1">
        <v>46231</v>
      </c>
      <c r="F993" s="1">
        <v>46231</v>
      </c>
      <c r="G993">
        <v>963</v>
      </c>
      <c r="H993">
        <v>183.95</v>
      </c>
    </row>
    <row r="994" spans="1:8" customFormat="1" x14ac:dyDescent="0.35">
      <c r="A994" t="s">
        <v>1033</v>
      </c>
      <c r="B994" s="1">
        <v>46230</v>
      </c>
      <c r="C994" t="s">
        <v>22</v>
      </c>
      <c r="D994" t="s">
        <v>10</v>
      </c>
      <c r="E994" s="1">
        <v>46232</v>
      </c>
      <c r="F994" s="1">
        <v>46232</v>
      </c>
      <c r="G994">
        <v>1130</v>
      </c>
      <c r="H994">
        <v>187.07</v>
      </c>
    </row>
    <row r="995" spans="1:8" customFormat="1" x14ac:dyDescent="0.35">
      <c r="A995" t="s">
        <v>1034</v>
      </c>
      <c r="B995" s="1">
        <v>46230</v>
      </c>
      <c r="C995" t="s">
        <v>22</v>
      </c>
      <c r="D995" t="s">
        <v>10</v>
      </c>
      <c r="E995" s="1">
        <v>46231</v>
      </c>
      <c r="F995" s="1">
        <v>46231</v>
      </c>
      <c r="G995">
        <v>1569</v>
      </c>
      <c r="H995">
        <v>255.59</v>
      </c>
    </row>
    <row r="996" spans="1:8" customFormat="1" x14ac:dyDescent="0.35">
      <c r="A996" t="s">
        <v>1035</v>
      </c>
      <c r="B996" s="1">
        <v>46230</v>
      </c>
      <c r="C996" t="s">
        <v>25</v>
      </c>
      <c r="D996" t="s">
        <v>12</v>
      </c>
      <c r="E996" s="1">
        <v>46231</v>
      </c>
      <c r="F996" s="1">
        <v>46230</v>
      </c>
      <c r="G996">
        <v>1397</v>
      </c>
      <c r="H996">
        <v>241.56</v>
      </c>
    </row>
    <row r="997" spans="1:8" customFormat="1" x14ac:dyDescent="0.35">
      <c r="A997" t="s">
        <v>1036</v>
      </c>
      <c r="B997" s="1">
        <v>46232</v>
      </c>
      <c r="C997" t="s">
        <v>22</v>
      </c>
      <c r="D997" t="s">
        <v>4</v>
      </c>
      <c r="E997" s="1">
        <v>46233</v>
      </c>
      <c r="F997" s="1">
        <v>46232</v>
      </c>
      <c r="G997">
        <v>2128</v>
      </c>
      <c r="H997">
        <v>357.44</v>
      </c>
    </row>
    <row r="998" spans="1:8" customFormat="1" x14ac:dyDescent="0.35">
      <c r="A998" t="s">
        <v>1037</v>
      </c>
      <c r="B998" s="1">
        <v>46234</v>
      </c>
      <c r="C998" t="s">
        <v>33</v>
      </c>
      <c r="D998" t="s">
        <v>4</v>
      </c>
      <c r="E998" s="1">
        <v>46236</v>
      </c>
      <c r="F998" s="1">
        <v>46235</v>
      </c>
      <c r="G998">
        <v>2200</v>
      </c>
      <c r="H998">
        <v>365.85</v>
      </c>
    </row>
    <row r="999" spans="1:8" customFormat="1" x14ac:dyDescent="0.35">
      <c r="A999" t="s">
        <v>1038</v>
      </c>
      <c r="B999" s="1">
        <v>46234</v>
      </c>
      <c r="C999" t="s">
        <v>19</v>
      </c>
      <c r="D999" t="s">
        <v>4</v>
      </c>
      <c r="E999" s="1">
        <v>46235</v>
      </c>
      <c r="F999" s="1">
        <v>46234</v>
      </c>
      <c r="G999">
        <v>2016</v>
      </c>
      <c r="H999">
        <v>334.8</v>
      </c>
    </row>
    <row r="1000" spans="1:8" customFormat="1" x14ac:dyDescent="0.35">
      <c r="A1000" t="s">
        <v>1039</v>
      </c>
      <c r="B1000" s="1">
        <v>46234</v>
      </c>
      <c r="C1000" t="s">
        <v>28</v>
      </c>
      <c r="D1000" t="s">
        <v>10</v>
      </c>
      <c r="E1000" s="1">
        <v>46236</v>
      </c>
      <c r="F1000" s="1">
        <v>46235</v>
      </c>
      <c r="G1000">
        <v>720</v>
      </c>
      <c r="H1000">
        <v>128.37</v>
      </c>
    </row>
    <row r="1001" spans="1:8" customFormat="1" x14ac:dyDescent="0.35">
      <c r="A1001" t="s">
        <v>1040</v>
      </c>
      <c r="B1001" s="1">
        <v>46234</v>
      </c>
      <c r="C1001" t="s">
        <v>31</v>
      </c>
      <c r="D1001" t="s">
        <v>4</v>
      </c>
      <c r="E1001" s="1">
        <v>46236</v>
      </c>
      <c r="F1001" s="1">
        <v>46235</v>
      </c>
      <c r="G1001">
        <v>547</v>
      </c>
      <c r="H1001">
        <v>122.4</v>
      </c>
    </row>
  </sheetData>
  <phoneticPr fontId="3"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38BDF-1E79-434A-9268-6195036AFB28}">
  <dimension ref="A1:M4"/>
  <sheetViews>
    <sheetView topLeftCell="D1" workbookViewId="0">
      <selection activeCell="G2" sqref="G2"/>
    </sheetView>
  </sheetViews>
  <sheetFormatPr defaultRowHeight="14.5" x14ac:dyDescent="0.35"/>
  <cols>
    <col min="1" max="1" width="11.54296875" style="13" bestFit="1" customWidth="1"/>
    <col min="2" max="2" width="16.54296875" bestFit="1" customWidth="1"/>
    <col min="3" max="3" width="19.81640625" bestFit="1" customWidth="1"/>
    <col min="4" max="4" width="23.453125" bestFit="1" customWidth="1"/>
    <col min="5" max="5" width="15.6328125" bestFit="1" customWidth="1"/>
    <col min="6" max="6" width="19.6328125" bestFit="1" customWidth="1"/>
    <col min="7" max="7" width="18.54296875" bestFit="1" customWidth="1"/>
    <col min="8" max="8" width="15.81640625" bestFit="1" customWidth="1"/>
    <col min="9" max="9" width="13.453125" bestFit="1" customWidth="1"/>
    <col min="10" max="10" width="18.36328125" bestFit="1" customWidth="1"/>
    <col min="11" max="11" width="21.54296875" bestFit="1" customWidth="1"/>
    <col min="12" max="12" width="17.453125" bestFit="1" customWidth="1"/>
    <col min="13" max="13" width="14.453125" bestFit="1" customWidth="1"/>
  </cols>
  <sheetData>
    <row r="1" spans="1:13" x14ac:dyDescent="0.35">
      <c r="A1" s="13" t="s">
        <v>1067</v>
      </c>
      <c r="B1" t="s">
        <v>1068</v>
      </c>
      <c r="C1" t="s">
        <v>1069</v>
      </c>
      <c r="D1" t="s">
        <v>1070</v>
      </c>
      <c r="E1" t="s">
        <v>1066</v>
      </c>
      <c r="F1" t="s">
        <v>1065</v>
      </c>
      <c r="G1" t="s">
        <v>1064</v>
      </c>
      <c r="H1" t="s">
        <v>1063</v>
      </c>
      <c r="I1" t="s">
        <v>1062</v>
      </c>
      <c r="J1" t="s">
        <v>1061</v>
      </c>
      <c r="K1" t="s">
        <v>1060</v>
      </c>
      <c r="L1" t="s">
        <v>1059</v>
      </c>
      <c r="M1" t="s">
        <v>1058</v>
      </c>
    </row>
    <row r="2" spans="1:13" x14ac:dyDescent="0.35">
      <c r="A2" s="13">
        <v>1272995</v>
      </c>
      <c r="B2" s="12">
        <v>0.17179055691499182</v>
      </c>
      <c r="C2" s="12">
        <v>218.68851999999998</v>
      </c>
      <c r="D2" s="14">
        <v>21600</v>
      </c>
      <c r="E2" s="12">
        <v>218688.52</v>
      </c>
      <c r="F2" s="4">
        <v>0.02</v>
      </c>
      <c r="G2" s="4">
        <v>1.7454545454545454</v>
      </c>
      <c r="H2" s="5">
        <v>288</v>
      </c>
      <c r="I2" s="11">
        <v>-6.5000000000000058E-2</v>
      </c>
      <c r="J2" s="11">
        <v>0.83499999999999996</v>
      </c>
      <c r="K2" s="5">
        <v>165</v>
      </c>
      <c r="L2" s="5">
        <v>835</v>
      </c>
      <c r="M2" s="5">
        <v>1000</v>
      </c>
    </row>
    <row r="4" spans="1:13" x14ac:dyDescent="0.35">
      <c r="D4" s="10"/>
      <c r="E4" s="10"/>
      <c r="F4" s="1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6A36D558-BBC6-4841-A97C-A6B206155BA7}">
  <ds:schemaRefs/>
</ds:datastoreItem>
</file>

<file path=customXml/itemProps2.xml><?xml version="1.0" encoding="utf-8"?>
<ds:datastoreItem xmlns:ds="http://schemas.openxmlformats.org/officeDocument/2006/customXml" ds:itemID="{8402A139-60CA-431B-B8A4-770A906774B3}">
  <ds:schemaRefs/>
</ds:datastoreItem>
</file>

<file path=customXml/itemProps3.xml><?xml version="1.0" encoding="utf-8"?>
<ds:datastoreItem xmlns:ds="http://schemas.openxmlformats.org/officeDocument/2006/customXml" ds:itemID="{12CFECCA-84AA-4A97-A8C3-B12B0EF94736}">
  <ds:schemaRefs/>
</ds:datastoreItem>
</file>

<file path=customXml/itemProps4.xml><?xml version="1.0" encoding="utf-8"?>
<ds:datastoreItem xmlns:ds="http://schemas.openxmlformats.org/officeDocument/2006/customXml" ds:itemID="{E9895BF0-C04B-434B-BE17-211927B6C778}">
  <ds:schemaRefs/>
</ds:datastoreItem>
</file>

<file path=customXml/itemProps5.xml><?xml version="1.0" encoding="utf-8"?>
<ds:datastoreItem xmlns:ds="http://schemas.openxmlformats.org/officeDocument/2006/customXml" ds:itemID="{B0BE5E02-DC13-480E-BBC8-1FC15B923CC4}">
  <ds:schemaRefs/>
</ds:datastoreItem>
</file>

<file path=customXml/itemProps6.xml><?xml version="1.0" encoding="utf-8"?>
<ds:datastoreItem xmlns:ds="http://schemas.openxmlformats.org/officeDocument/2006/customXml" ds:itemID="{131727AF-9816-420D-BB51-7F74D0BB6C14}">
  <ds:schemaRefs/>
</ds:datastoreItem>
</file>

<file path=customXml/itemProps7.xml><?xml version="1.0" encoding="utf-8"?>
<ds:datastoreItem xmlns:ds="http://schemas.openxmlformats.org/officeDocument/2006/customXml" ds:itemID="{3536EAEF-7C90-407A-AA8E-8D7AD40C0CB7}">
  <ds:schemaRefs/>
</ds:datastoreItem>
</file>

<file path=customXml/itemProps8.xml><?xml version="1.0" encoding="utf-8"?>
<ds:datastoreItem xmlns:ds="http://schemas.openxmlformats.org/officeDocument/2006/customXml" ds:itemID="{675BD794-8A70-4F1A-97EA-C616724854EA}">
  <ds:schemaRefs/>
</ds:datastoreItem>
</file>

<file path=customXml/itemProps9.xml><?xml version="1.0" encoding="utf-8"?>
<ds:datastoreItem xmlns:ds="http://schemas.openxmlformats.org/officeDocument/2006/customXml" ds:itemID="{A4E46FB7-0E09-485D-8524-EF0B286DE003}">
  <ds:schemaRefs/>
</ds:datastoreItem>
</file>

<file path=customXml/itemProps10.xml><?xml version="1.0" encoding="utf-8"?>
<ds:datastoreItem xmlns:ds="http://schemas.openxmlformats.org/officeDocument/2006/customXml" ds:itemID="{140DB926-21E7-4CC5-8D69-7C6FA40E59A0}">
  <ds:schemaRefs/>
</ds:datastoreItem>
</file>

<file path=customXml/itemProps11.xml><?xml version="1.0" encoding="utf-8"?>
<ds:datastoreItem xmlns:ds="http://schemas.openxmlformats.org/officeDocument/2006/customXml" ds:itemID="{D4D8F68A-2D93-4AF8-861B-1FF3FFF688A3}">
  <ds:schemaRefs/>
</ds:datastoreItem>
</file>

<file path=customXml/itemProps12.xml><?xml version="1.0" encoding="utf-8"?>
<ds:datastoreItem xmlns:ds="http://schemas.openxmlformats.org/officeDocument/2006/customXml" ds:itemID="{B7A64F12-1813-49A9-9B94-98189D4B2099}">
  <ds:schemaRefs/>
</ds:datastoreItem>
</file>

<file path=customXml/itemProps13.xml><?xml version="1.0" encoding="utf-8"?>
<ds:datastoreItem xmlns:ds="http://schemas.openxmlformats.org/officeDocument/2006/customXml" ds:itemID="{36BF9627-5C75-4507-80BF-A0D49EEC21B2}">
  <ds:schemaRefs/>
</ds:datastoreItem>
</file>

<file path=customXml/itemProps14.xml><?xml version="1.0" encoding="utf-8"?>
<ds:datastoreItem xmlns:ds="http://schemas.openxmlformats.org/officeDocument/2006/customXml" ds:itemID="{240A03D3-2A2D-4601-8B94-F1F36AA79426}">
  <ds:schemaRefs/>
</ds:datastoreItem>
</file>

<file path=customXml/itemProps15.xml><?xml version="1.0" encoding="utf-8"?>
<ds:datastoreItem xmlns:ds="http://schemas.openxmlformats.org/officeDocument/2006/customXml" ds:itemID="{4A26EDA1-C0B3-4B57-85B6-42000B3C307E}">
  <ds:schemaRefs/>
</ds:datastoreItem>
</file>

<file path=customXml/itemProps16.xml><?xml version="1.0" encoding="utf-8"?>
<ds:datastoreItem xmlns:ds="http://schemas.openxmlformats.org/officeDocument/2006/customXml" ds:itemID="{C9E5DBF4-6156-4F1B-B965-AEA5FCE4F5CB}">
  <ds:schemaRefs/>
</ds:datastoreItem>
</file>

<file path=customXml/itemProps17.xml><?xml version="1.0" encoding="utf-8"?>
<ds:datastoreItem xmlns:ds="http://schemas.openxmlformats.org/officeDocument/2006/customXml" ds:itemID="{94E1BA28-363B-4033-A508-BAF5713E5B6D}">
  <ds:schemaRefs/>
</ds:datastoreItem>
</file>

<file path=customXml/itemProps18.xml><?xml version="1.0" encoding="utf-8"?>
<ds:datastoreItem xmlns:ds="http://schemas.openxmlformats.org/officeDocument/2006/customXml" ds:itemID="{6F8AEB99-9EA1-4FD5-AD39-84805B648B0B}">
  <ds:schemaRefs/>
</ds:datastoreItem>
</file>

<file path=customXml/itemProps19.xml><?xml version="1.0" encoding="utf-8"?>
<ds:datastoreItem xmlns:ds="http://schemas.openxmlformats.org/officeDocument/2006/customXml" ds:itemID="{72032E63-0EE3-46F7-A375-117DC1776D32}">
  <ds:schemaRefs/>
</ds:datastoreItem>
</file>

<file path=customXml/itemProps20.xml><?xml version="1.0" encoding="utf-8"?>
<ds:datastoreItem xmlns:ds="http://schemas.openxmlformats.org/officeDocument/2006/customXml" ds:itemID="{03998906-6FCA-423E-B3FD-C3FE43EE6713}">
  <ds:schemaRefs/>
</ds:datastoreItem>
</file>

<file path=customXml/itemProps21.xml><?xml version="1.0" encoding="utf-8"?>
<ds:datastoreItem xmlns:ds="http://schemas.openxmlformats.org/officeDocument/2006/customXml" ds:itemID="{A6A7F5A3-F9C4-4BDB-B930-95902D5A7BE9}">
  <ds:schemaRefs/>
</ds:datastoreItem>
</file>

<file path=customXml/itemProps22.xml><?xml version="1.0" encoding="utf-8"?>
<ds:datastoreItem xmlns:ds="http://schemas.openxmlformats.org/officeDocument/2006/customXml" ds:itemID="{869B4792-163F-4E09-9EC1-8D774958ACE7}">
  <ds:schemaRefs/>
</ds:datastoreItem>
</file>

<file path=customXml/itemProps23.xml><?xml version="1.0" encoding="utf-8"?>
<ds:datastoreItem xmlns:ds="http://schemas.openxmlformats.org/officeDocument/2006/customXml" ds:itemID="{3ED4634B-D866-4F31-99F5-8A4B024286C9}">
  <ds:schemaRefs/>
</ds:datastoreItem>
</file>

<file path=customXml/itemProps24.xml><?xml version="1.0" encoding="utf-8"?>
<ds:datastoreItem xmlns:ds="http://schemas.openxmlformats.org/officeDocument/2006/customXml" ds:itemID="{22E0FDF8-1AE4-49E3-8C50-2A16AD5C455A}">
  <ds:schemaRefs/>
</ds:datastoreItem>
</file>

<file path=customXml/itemProps25.xml><?xml version="1.0" encoding="utf-8"?>
<ds:datastoreItem xmlns:ds="http://schemas.openxmlformats.org/officeDocument/2006/customXml" ds:itemID="{D1B78181-E9E0-4C38-A221-519BB8C737C4}">
  <ds:schemaRefs/>
</ds:datastoreItem>
</file>

<file path=customXml/itemProps26.xml><?xml version="1.0" encoding="utf-8"?>
<ds:datastoreItem xmlns:ds="http://schemas.openxmlformats.org/officeDocument/2006/customXml" ds:itemID="{A74AFC5A-6F34-4C99-A3D6-1E9070903CBA}">
  <ds:schemaRefs/>
</ds:datastoreItem>
</file>

<file path=customXml/itemProps27.xml><?xml version="1.0" encoding="utf-8"?>
<ds:datastoreItem xmlns:ds="http://schemas.openxmlformats.org/officeDocument/2006/customXml" ds:itemID="{228C8BFB-0E8A-451F-9682-75A00D91ABA2}">
  <ds:schemaRefs/>
</ds:datastoreItem>
</file>

<file path=customXml/itemProps28.xml><?xml version="1.0" encoding="utf-8"?>
<ds:datastoreItem xmlns:ds="http://schemas.openxmlformats.org/officeDocument/2006/customXml" ds:itemID="{F32FEEA3-EB85-4536-9514-2D4457FB05F4}">
  <ds:schemaRefs/>
</ds:datastoreItem>
</file>

<file path=customXml/itemProps29.xml><?xml version="1.0" encoding="utf-8"?>
<ds:datastoreItem xmlns:ds="http://schemas.openxmlformats.org/officeDocument/2006/customXml" ds:itemID="{39C9208B-0F84-4831-AA55-525A8DD46793}">
  <ds:schemaRefs/>
</ds:datastoreItem>
</file>

<file path=customXml/itemProps30.xml><?xml version="1.0" encoding="utf-8"?>
<ds:datastoreItem xmlns:ds="http://schemas.openxmlformats.org/officeDocument/2006/customXml" ds:itemID="{31169223-D970-4213-ACB0-A99FED5578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Overview</vt:lpstr>
      <vt:lpstr>Detail</vt:lpstr>
      <vt:lpstr>Helper</vt:lpstr>
      <vt:lpstr>Scenario_Analysis</vt:lpstr>
      <vt:lpstr>Assumptions</vt:lpstr>
      <vt:lpstr>raw_Carriers</vt:lpstr>
      <vt:lpstr>raw_Warehouses</vt:lpstr>
      <vt:lpstr>raw_Shipments</vt:lpstr>
      <vt:lpstr>scratch</vt:lpstr>
      <vt:lpstr>Overview!Print_Area</vt:lpstr>
      <vt:lpstr>SLA_Target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 Nguyen</dc:creator>
  <cp:lastModifiedBy>Trinh Nguyen</cp:lastModifiedBy>
  <cp:lastPrinted>2026-08-03T19:25:41Z</cp:lastPrinted>
  <dcterms:created xsi:type="dcterms:W3CDTF">2015-06-05T18:17:20Z</dcterms:created>
  <dcterms:modified xsi:type="dcterms:W3CDTF">2026-08-03T20:26:29Z</dcterms:modified>
</cp:coreProperties>
</file>