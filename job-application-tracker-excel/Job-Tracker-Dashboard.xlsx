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85A1B5A1A206E6/Documents/"/>
    </mc:Choice>
  </mc:AlternateContent>
  <xr:revisionPtr revIDLastSave="1092" documentId="8_{58402FFE-C867-46D6-954A-10DA57BCE9B3}" xr6:coauthVersionLast="47" xr6:coauthVersionMax="47" xr10:uidLastSave="{D4F7D83F-64D5-4E5B-A1B6-D5AE94A7538A}"/>
  <bookViews>
    <workbookView xWindow="-110" yWindow="-110" windowWidth="19420" windowHeight="11500" xr2:uid="{AA69362A-CBF0-4DD9-B333-34330B180B01}"/>
  </bookViews>
  <sheets>
    <sheet name="Job Tracker" sheetId="1" r:id="rId1"/>
    <sheet name="Summary" sheetId="2" r:id="rId2"/>
  </sheets>
  <definedNames>
    <definedName name="_xlnm.Print_Area" localSheetId="0">'Job Tracker'!$A$1:$M$38</definedName>
    <definedName name="_xlnm.Print_Area" localSheetId="1">Summary!$A$1:$Q$52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Q33" i="2"/>
  <c r="Q44" i="2" a="1"/>
  <c r="Q44" i="2" s="1"/>
  <c r="J1" i="1"/>
  <c r="M4" i="1"/>
  <c r="K4" i="1"/>
  <c r="I4" i="1"/>
  <c r="F4" i="1"/>
  <c r="D4" i="1"/>
  <c r="A4" i="1"/>
  <c r="Q43" i="2" a="1"/>
  <c r="Q43" i="2" s="1"/>
  <c r="Q42" i="2" a="1"/>
  <c r="Q42" i="2" s="1"/>
  <c r="Q41" i="2" a="1"/>
  <c r="Q41" i="2" s="1"/>
  <c r="Q40" i="2" a="1"/>
  <c r="Q40" i="2" s="1"/>
  <c r="Q39" i="2" a="1"/>
  <c r="Q39" i="2" s="1"/>
  <c r="Q38" i="2" a="1"/>
  <c r="Q38" i="2" s="1"/>
  <c r="Q37" i="2" a="1"/>
  <c r="Q37" i="2" s="1"/>
  <c r="Q32" i="2"/>
  <c r="Q31" i="2"/>
  <c r="Q30" i="2"/>
  <c r="Q29" i="2"/>
  <c r="Q28" i="2"/>
  <c r="Q27" i="2"/>
  <c r="Q26" i="2"/>
  <c r="P22" i="2"/>
  <c r="Q22" i="2" s="1"/>
  <c r="P21" i="2"/>
  <c r="Q21" i="2" s="1"/>
  <c r="P20" i="2"/>
  <c r="Q20" i="2" s="1"/>
  <c r="P19" i="2"/>
  <c r="Q19" i="2" s="1"/>
  <c r="P18" i="2"/>
  <c r="Q18" i="2" s="1"/>
  <c r="Q36" i="2" a="1"/>
  <c r="Q36" i="2" s="1"/>
  <c r="Q25" i="2"/>
  <c r="Q34" i="2" s="1"/>
  <c r="P17" i="2"/>
  <c r="Q17" i="2" s="1"/>
  <c r="Q14" i="2"/>
  <c r="Q13" i="2"/>
  <c r="Q12" i="2"/>
  <c r="Q9" i="2"/>
  <c r="Q8" i="2"/>
  <c r="Q7" i="2"/>
  <c r="Q6" i="2"/>
  <c r="Q5" i="2"/>
  <c r="A2" i="2"/>
  <c r="Q45" i="2" l="1" a="1"/>
  <c r="Q4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<sst xmlns="http://schemas.openxmlformats.org/spreadsheetml/2006/main" count="326" uniqueCount="174">
  <si>
    <t>Status</t>
  </si>
  <si>
    <t>Company</t>
  </si>
  <si>
    <t>Role</t>
  </si>
  <si>
    <t>Location</t>
  </si>
  <si>
    <t>Type</t>
  </si>
  <si>
    <t>Date Applied</t>
  </si>
  <si>
    <t>Job Link</t>
  </si>
  <si>
    <t>Notes</t>
  </si>
  <si>
    <t>#</t>
  </si>
  <si>
    <t>Salary</t>
  </si>
  <si>
    <t>Applied</t>
  </si>
  <si>
    <t>Offer</t>
  </si>
  <si>
    <t>Rejected</t>
  </si>
  <si>
    <t>Recovery Audit Solutions</t>
  </si>
  <si>
    <t>Data Analytics &amp; Web Dev Intern</t>
  </si>
  <si>
    <t>📨 Applied</t>
  </si>
  <si>
    <t>❌ Rejected</t>
  </si>
  <si>
    <t>🏢 On-site</t>
  </si>
  <si>
    <t>🏠 Remote</t>
  </si>
  <si>
    <t>Deadline</t>
  </si>
  <si>
    <t>Resume Version</t>
  </si>
  <si>
    <t>KN_Resume</t>
  </si>
  <si>
    <t>Link</t>
  </si>
  <si>
    <t>Key Skills</t>
  </si>
  <si>
    <t>Northwind Analytics</t>
  </si>
  <si>
    <t>Data Analyst Intern</t>
  </si>
  <si>
    <t>Chicago, IL</t>
  </si>
  <si>
    <t>🔀 Hybrid</t>
  </si>
  <si>
    <t>KN_Resume_DA</t>
  </si>
  <si>
    <t>Rejected after online assessment</t>
  </si>
  <si>
    <t>SQL, Excel, Power BI</t>
  </si>
  <si>
    <t>📞 Interview</t>
  </si>
  <si>
    <t>Cedar Point Health</t>
  </si>
  <si>
    <t>Business Intelligence Intern</t>
  </si>
  <si>
    <t>Boston, MA</t>
  </si>
  <si>
    <t>Recruiter screen scheduled</t>
  </si>
  <si>
    <t>SQL, Tableau, Excel</t>
  </si>
  <si>
    <t>Bluewave Logistics</t>
  </si>
  <si>
    <t>Operations Analyst Intern</t>
  </si>
  <si>
    <t>Atlanta, GA</t>
  </si>
  <si>
    <t>KN_Resume_Ops</t>
  </si>
  <si>
    <t>Referral from career fair</t>
  </si>
  <si>
    <t>Excel, SQL, Statistics</t>
  </si>
  <si>
    <t>👻 Ghosted</t>
  </si>
  <si>
    <t>Orion Retail Group</t>
  </si>
  <si>
    <t>Reporting Analyst Intern</t>
  </si>
  <si>
    <t>Remote</t>
  </si>
  <si>
    <t>No response after 6 weeks</t>
  </si>
  <si>
    <t>Excel, Power BI</t>
  </si>
  <si>
    <t>Lumen Financial</t>
  </si>
  <si>
    <t>Financial Analyst Intern</t>
  </si>
  <si>
    <t>New York, NY</t>
  </si>
  <si>
    <t>KN_Resume_Fin</t>
  </si>
  <si>
    <t>Position filled internally</t>
  </si>
  <si>
    <t>Excel, Statistics, SQL</t>
  </si>
  <si>
    <t>Harborline Media</t>
  </si>
  <si>
    <t>Marketing Analytics Intern</t>
  </si>
  <si>
    <t>Case study round</t>
  </si>
  <si>
    <t>Tableau, SQL, Data Visualization</t>
  </si>
  <si>
    <t>Vertex Manufacturing</t>
  </si>
  <si>
    <t>Austin, TX</t>
  </si>
  <si>
    <t>Applied via company site</t>
  </si>
  <si>
    <t>Python, SQL, Excel</t>
  </si>
  <si>
    <t>🏆 Offer</t>
  </si>
  <si>
    <t>Silverleaf Insurance</t>
  </si>
  <si>
    <t>Data Analytics Intern</t>
  </si>
  <si>
    <t>Offer received - deciding</t>
  </si>
  <si>
    <t>SQL, Power BI, Python</t>
  </si>
  <si>
    <t>Pinecrest Energy</t>
  </si>
  <si>
    <t>Web Developer Intern</t>
  </si>
  <si>
    <t>Seattle, WA</t>
  </si>
  <si>
    <t>KN_Resume_Web</t>
  </si>
  <si>
    <t>Portfolio submitted</t>
  </si>
  <si>
    <t>JavaScript, Data Visualization</t>
  </si>
  <si>
    <t>Atlas Consumer Brands</t>
  </si>
  <si>
    <t>Rejected post-interview</t>
  </si>
  <si>
    <t>SQL, Excel, Tableau</t>
  </si>
  <si>
    <t>Redstone Software</t>
  </si>
  <si>
    <t>Data Engineer Intern</t>
  </si>
  <si>
    <t>KN_Resume_Eng</t>
  </si>
  <si>
    <t>Technical interview 4/24</t>
  </si>
  <si>
    <t>Python, SQL, R</t>
  </si>
  <si>
    <t>Kestrel BioLabs</t>
  </si>
  <si>
    <t>Lab analytics team</t>
  </si>
  <si>
    <t>R, Excel, Statistics</t>
  </si>
  <si>
    <t>Summit Freight</t>
  </si>
  <si>
    <t>Application still in review</t>
  </si>
  <si>
    <t>Excel, SQL</t>
  </si>
  <si>
    <t>Ironwood Capital</t>
  </si>
  <si>
    <t>Very competitive pool</t>
  </si>
  <si>
    <t>Excel, Statistics, Python</t>
  </si>
  <si>
    <t>Maple &amp; Co Consulting</t>
  </si>
  <si>
    <t>Behavioral round complete</t>
  </si>
  <si>
    <t>Trailhead Education</t>
  </si>
  <si>
    <t>Mission fit, flexible team</t>
  </si>
  <si>
    <t>Excel, Power BI, SQL</t>
  </si>
  <si>
    <t>Beacon Utilities</t>
  </si>
  <si>
    <t>Needed prior co-op</t>
  </si>
  <si>
    <t>SQL, Python, Excel</t>
  </si>
  <si>
    <t>Coastal Foods</t>
  </si>
  <si>
    <t>Follow-up email sent</t>
  </si>
  <si>
    <t>Tableau, Excel, Statistics</t>
  </si>
  <si>
    <t>Quarry Ridge Mining</t>
  </si>
  <si>
    <t>No recruiter contact</t>
  </si>
  <si>
    <t>Nimbus Cloud Services</t>
  </si>
  <si>
    <t>Panel interview 6/1</t>
  </si>
  <si>
    <t>Python, SQL, JavaScript</t>
  </si>
  <si>
    <t>Fairmont Hotels Group</t>
  </si>
  <si>
    <t>Hospitality analytics team</t>
  </si>
  <si>
    <t>Power BI, SQL, Excel</t>
  </si>
  <si>
    <t>Sable Automotive</t>
  </si>
  <si>
    <t>Rejected at resume screen</t>
  </si>
  <si>
    <t>Excel, SQL, Python</t>
  </si>
  <si>
    <t>Willow Health Systems</t>
  </si>
  <si>
    <t>Offer - strongest fit so far</t>
  </si>
  <si>
    <t>SQL, R, Data Visualization</t>
  </si>
  <si>
    <t>Granite State Bank</t>
  </si>
  <si>
    <t>Waiting on HR</t>
  </si>
  <si>
    <t>Echo Park Studios</t>
  </si>
  <si>
    <t>San Francisco, CA</t>
  </si>
  <si>
    <t>Take-home project submitted</t>
  </si>
  <si>
    <t>JavaScript, Data Visualization, Python</t>
  </si>
  <si>
    <t>Tidewater Marine</t>
  </si>
  <si>
    <t>Role reposted, no reply</t>
  </si>
  <si>
    <t>Aster Pharmaceuticals</t>
  </si>
  <si>
    <t>Clinical data team</t>
  </si>
  <si>
    <t>R, SQL, Statistics</t>
  </si>
  <si>
    <t>Copperfield Realty</t>
  </si>
  <si>
    <t>Not moving forward</t>
  </si>
  <si>
    <t>Power BI, Excel</t>
  </si>
  <si>
    <t>Junction Sports</t>
  </si>
  <si>
    <t>Applied through LinkedIn</t>
  </si>
  <si>
    <t>Tableau, SQL, Excel</t>
  </si>
  <si>
    <t>Meridian Telecom</t>
  </si>
  <si>
    <t>First round 8/6</t>
  </si>
  <si>
    <t>SQL, Python, Power BI</t>
  </si>
  <si>
    <t>Oakfield Agriculture</t>
  </si>
  <si>
    <t>Small analytics team</t>
  </si>
  <si>
    <t>Excel, SQL, R</t>
  </si>
  <si>
    <t>Larkspur Nonprofit</t>
  </si>
  <si>
    <t>Mission-driven, flexible hours</t>
  </si>
  <si>
    <t>Excel, Data Visualization</t>
  </si>
  <si>
    <t>SQL, Excel, JavaScript</t>
  </si>
  <si>
    <r>
      <t xml:space="preserve">Found in </t>
    </r>
    <r>
      <rPr>
        <b/>
        <sz val="11"/>
        <color theme="1"/>
        <rFont val="Aptos Narrow"/>
        <family val="2"/>
        <scheme val="minor"/>
      </rPr>
      <t>Handshake</t>
    </r>
  </si>
  <si>
    <t>Job Application Tracker</t>
  </si>
  <si>
    <t>Search Performance Summary</t>
  </si>
  <si>
    <t>CHART DATA</t>
  </si>
  <si>
    <t>Applications</t>
  </si>
  <si>
    <t>Interview</t>
  </si>
  <si>
    <t>Ghosted</t>
  </si>
  <si>
    <t>Work Type</t>
  </si>
  <si>
    <t>On-site</t>
  </si>
  <si>
    <t>Hybrid</t>
  </si>
  <si>
    <t>Month</t>
  </si>
  <si>
    <t>Key Skill</t>
  </si>
  <si>
    <t>Mentions</t>
  </si>
  <si>
    <t>SQL</t>
  </si>
  <si>
    <t>Excel</t>
  </si>
  <si>
    <t>Python</t>
  </si>
  <si>
    <t>Power BI</t>
  </si>
  <si>
    <t>Tableau</t>
  </si>
  <si>
    <t>R</t>
  </si>
  <si>
    <t>JavaScript</t>
  </si>
  <si>
    <t>Data Visualization</t>
  </si>
  <si>
    <t>Statistics</t>
  </si>
  <si>
    <t>Internship Search — for Summer 2027</t>
  </si>
  <si>
    <t>💼 TOTAL APPLICATIONS</t>
  </si>
  <si>
    <t>📞 INTERVIEWS</t>
  </si>
  <si>
    <t>🎉 OFFERS</t>
  </si>
  <si>
    <t>INTERVIEW RATE</t>
  </si>
  <si>
    <t>OFFER RATE</t>
  </si>
  <si>
    <t>💰 AVG SALARY POSTED</t>
  </si>
  <si>
    <t>California, CA</t>
  </si>
  <si>
    <t>Other / unlisted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</si>
</sst>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[$-409]mmm\-yy;@"/>
    <numFmt numFmtId="166" formatCode="mmm\ d\,\ yyyy"/>
    <numFmt numFmtId="167" formatCode="&quot;$&quot;#,##0;\(&quot;$&quot;#,##0\);&quot;–&quot;"/>
    <numFmt numFmtId="168" formatCode="0.0%"/>
    <numFmt numFmtId="169" formatCode="&quot;$&quot;#,##0"/>
    <numFmt numFmtId="170" formatCode="mmm\ yyyy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Display"/>
      <family val="2"/>
      <scheme val="major"/>
    </font>
    <font>
      <sz val="10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b/>
      <sz val="10"/>
      <color rgb="FFFFFFFF"/>
      <name val="Aptos Display"/>
      <family val="2"/>
      <scheme val="major"/>
    </font>
    <font>
      <sz val="10"/>
      <color rgb="FF3F3F3F"/>
      <name val="Aptos Display"/>
      <family val="2"/>
      <scheme val="major"/>
    </font>
    <font>
      <u/>
      <sz val="10"/>
      <color rgb="FF0563C1"/>
      <name val="Aptos Display"/>
      <family val="2"/>
      <scheme val="major"/>
    </font>
    <font>
      <b/>
      <sz val="20"/>
      <color rgb="FF4A3B40"/>
      <name val="Aptos Display"/>
      <family val="2"/>
    </font>
    <font>
      <i/>
      <sz val="10"/>
      <color rgb="FF9C6B72"/>
      <name val="Aptos Display"/>
      <family val="2"/>
    </font>
    <font>
      <sz val="9"/>
      <color theme="1"/>
      <name val="Aptos Display"/>
      <family val="2"/>
    </font>
    <font>
      <sz val="9"/>
      <color rgb="FF9C6B72"/>
      <name val="Aptos Display"/>
      <family val="2"/>
    </font>
    <font>
      <b/>
      <sz val="9"/>
      <color rgb="FF9C6B72"/>
      <name val="Aptos Display"/>
      <family val="2"/>
    </font>
    <font>
      <b/>
      <sz val="18"/>
      <color rgb="FF4A3B40"/>
      <name val="Aptos Display"/>
      <family val="2"/>
    </font>
    <font>
      <i/>
      <sz val="9"/>
      <color rgb="FF9C6B72"/>
      <name val="Aptos Display"/>
      <family val="2"/>
    </font>
    <font>
      <b/>
      <sz val="9"/>
      <color rgb="FF4A3B40"/>
      <name val="Aptos Display"/>
      <family val="2"/>
    </font>
    <font>
      <sz val="10"/>
      <color rgb="FF3F3F3F"/>
      <name val="Aptos Display"/>
      <family val="2"/>
    </font>
    <font>
      <u/>
      <sz val="10"/>
      <color rgb="FF0563C1"/>
      <name val="Aptos Display"/>
      <family val="2"/>
    </font>
    <font>
      <i/>
      <sz val="9"/>
      <color theme="1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E8C1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2F4"/>
        <bgColor indexed="64"/>
      </patternFill>
    </fill>
  </fills>
  <borders count="8">
    <border>
      <left/>
      <right/>
      <top/>
      <bottom/>
      <diagonal/>
    </border>
    <border>
      <left style="thin">
        <color rgb="FFE8C1C0"/>
      </left>
      <right style="thin">
        <color rgb="FFE8C1C0"/>
      </right>
      <top style="thin">
        <color rgb="FFE8C1C0"/>
      </top>
      <bottom style="thin">
        <color rgb="FFE8C1C0"/>
      </bottom>
      <diagonal/>
    </border>
    <border>
      <left style="thin">
        <color rgb="FFE8C1C0"/>
      </left>
      <right/>
      <top style="thin">
        <color rgb="FFE8C1C0"/>
      </top>
      <bottom/>
      <diagonal/>
    </border>
    <border>
      <left style="thin">
        <color rgb="FFE8C1C0"/>
      </left>
      <right/>
      <top/>
      <bottom/>
      <diagonal/>
    </border>
    <border>
      <left/>
      <right/>
      <top/>
      <bottom style="thin">
        <color rgb="FFE8C1C0"/>
      </bottom>
      <diagonal/>
    </border>
    <border>
      <left/>
      <right/>
      <top style="thin">
        <color rgb="FFE8C1C0"/>
      </top>
      <bottom/>
      <diagonal/>
    </border>
    <border>
      <left style="thin">
        <color rgb="FFE8C1C0"/>
      </left>
      <right style="thin">
        <color rgb="FFE8C1C0"/>
      </right>
      <top style="thin">
        <color rgb="FFE8C1C0"/>
      </top>
      <bottom/>
      <diagonal/>
    </border>
    <border>
      <left style="thin">
        <color rgb="FFE8C1C0"/>
      </left>
      <right style="thin">
        <color rgb="FFE8C1C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2" fillId="0" borderId="0" xfId="0" applyFont="1" applyFill="1" applyAlignment="1">
      <alignment horizontal="left" vertical="center"/>
    </xf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166" fontId="6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7" fontId="6" fillId="3" borderId="6" xfId="0" applyNumberFormat="1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165" fontId="3" fillId="3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right"/>
    </xf>
    <xf numFmtId="0" fontId="12" fillId="4" borderId="5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0" fillId="3" borderId="0" xfId="0" applyFill="1"/>
    <xf numFmtId="0" fontId="8" fillId="3" borderId="0" xfId="0" applyFont="1" applyFill="1"/>
    <xf numFmtId="0" fontId="9" fillId="3" borderId="0" xfId="0" applyFont="1" applyFill="1"/>
    <xf numFmtId="0" fontId="12" fillId="0" borderId="0" xfId="0" applyFont="1"/>
    <xf numFmtId="0" fontId="10" fillId="0" borderId="0" xfId="0" applyFont="1"/>
    <xf numFmtId="0" fontId="14" fillId="0" borderId="0" xfId="0" applyFont="1"/>
    <xf numFmtId="0" fontId="15" fillId="0" borderId="4" xfId="0" applyFont="1" applyBorder="1"/>
    <xf numFmtId="170" fontId="10" fillId="0" borderId="0" xfId="0" applyNumberFormat="1" applyFont="1"/>
    <xf numFmtId="0" fontId="15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4" borderId="0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left" vertical="center"/>
    </xf>
    <xf numFmtId="0" fontId="6" fillId="3" borderId="6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5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16" fillId="3" borderId="0" xfId="0" applyNumberFormat="1" applyFont="1" applyFill="1" applyBorder="1" applyAlignment="1">
      <alignment horizontal="center" vertical="center"/>
    </xf>
    <xf numFmtId="0" fontId="16" fillId="3" borderId="0" xfId="0" applyNumberFormat="1" applyFont="1" applyFill="1" applyBorder="1" applyAlignment="1">
      <alignment horizontal="left" vertical="center"/>
    </xf>
    <xf numFmtId="166" fontId="16" fillId="3" borderId="0" xfId="0" applyNumberFormat="1" applyFont="1" applyFill="1" applyBorder="1" applyAlignment="1">
      <alignment horizontal="center" vertical="center"/>
    </xf>
    <xf numFmtId="0" fontId="16" fillId="3" borderId="0" xfId="0" applyNumberFormat="1" applyFont="1" applyFill="1" applyBorder="1" applyAlignment="1">
      <alignment horizontal="center" vertical="center"/>
    </xf>
    <xf numFmtId="167" fontId="16" fillId="3" borderId="0" xfId="0" applyNumberFormat="1" applyFont="1" applyFill="1" applyBorder="1" applyAlignment="1">
      <alignment horizontal="right" vertical="center"/>
    </xf>
    <xf numFmtId="0" fontId="17" fillId="3" borderId="0" xfId="0" applyFont="1" applyFill="1" applyBorder="1" applyAlignment="1">
      <alignment horizontal="center" vertical="center"/>
    </xf>
    <xf numFmtId="1" fontId="13" fillId="4" borderId="3" xfId="0" applyNumberFormat="1" applyFont="1" applyFill="1" applyBorder="1" applyAlignment="1">
      <alignment horizontal="center" vertical="center"/>
    </xf>
    <xf numFmtId="168" fontId="13" fillId="4" borderId="3" xfId="0" applyNumberFormat="1" applyFont="1" applyFill="1" applyBorder="1" applyAlignment="1">
      <alignment horizontal="center" vertical="center"/>
    </xf>
    <xf numFmtId="169" fontId="13" fillId="4" borderId="7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" fontId="6" fillId="3" borderId="6" xfId="0" applyNumberFormat="1" applyFont="1" applyFill="1" applyBorder="1" applyAlignment="1">
      <alignment horizontal="center" vertical="center"/>
    </xf>
    <xf numFmtId="0" fontId="18" fillId="0" borderId="0" xfId="0" applyFont="1"/>
    <xf numFmtId="1" fontId="6" fillId="3" borderId="0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left" vertical="center"/>
    </xf>
    <xf numFmtId="166" fontId="6" fillId="3" borderId="0" xfId="0" applyNumberFormat="1" applyFont="1" applyFill="1" applyBorder="1" applyAlignment="1">
      <alignment horizontal="center" vertical="center"/>
    </xf>
    <xf numFmtId="14" fontId="6" fillId="3" borderId="0" xfId="0" applyNumberFormat="1" applyFont="1" applyFill="1" applyBorder="1" applyAlignment="1">
      <alignment horizontal="center" vertical="center"/>
    </xf>
    <xf numFmtId="167" fontId="6" fillId="3" borderId="0" xfId="0" applyNumberFormat="1" applyFont="1" applyFill="1" applyBorder="1" applyAlignment="1">
      <alignment horizontal="right" vertical="center"/>
    </xf>
    <xf numFmtId="0" fontId="7" fillId="3" borderId="0" xfId="0" applyFont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7">
    <dxf>
      <border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</border>
    </dxf>
    <dxf>
      <fill>
        <patternFill patternType="solid">
          <fgColor indexed="64"/>
          <bgColor rgb="FFFDF2F4"/>
        </patternFill>
      </fill>
    </dxf>
    <dxf>
      <fill>
        <patternFill patternType="solid">
          <fgColor indexed="64"/>
          <bgColor rgb="FFFDF2F4"/>
        </patternFill>
      </fill>
    </dxf>
    <dxf>
      <fill>
        <patternFill patternType="solid">
          <fgColor indexed="64"/>
          <bgColor rgb="FFFDF2F4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8A5A00"/>
      </font>
      <fill>
        <patternFill patternType="solid">
          <fgColor indexed="64"/>
          <bgColor rgb="FFFFF0DC"/>
        </patternFill>
      </fill>
    </dxf>
    <dxf>
      <font>
        <b/>
        <i val="0"/>
        <color rgb="FF1F6E62"/>
      </font>
      <fill>
        <patternFill patternType="solid">
          <fgColor indexed="64"/>
          <bgColor rgb="FFDFF4F1"/>
        </patternFill>
      </fill>
    </dxf>
    <dxf>
      <font>
        <b/>
        <i val="0"/>
        <color rgb="FF5B3A78"/>
      </font>
      <fill>
        <patternFill patternType="solid">
          <fgColor indexed="64"/>
          <bgColor rgb="FFF0E6F6"/>
        </patternFill>
      </fill>
    </dxf>
    <dxf>
      <font>
        <b/>
        <i val="0"/>
        <color rgb="FF6B6B6B"/>
      </font>
      <fill>
        <patternFill patternType="solid">
          <fgColor indexed="64"/>
          <bgColor rgb="FFECECEC"/>
        </patternFill>
      </fill>
    </dxf>
    <dxf>
      <font>
        <b/>
        <i val="0"/>
        <color rgb="FF9C2B33"/>
      </font>
      <fill>
        <patternFill patternType="solid">
          <fgColor indexed="64"/>
          <bgColor rgb="FFF7D6D9"/>
        </patternFill>
      </fill>
    </dxf>
    <dxf>
      <font>
        <b/>
        <i val="0"/>
        <color rgb="FF1E6E3C"/>
      </font>
      <fill>
        <patternFill patternType="solid">
          <fgColor indexed="64"/>
          <bgColor rgb="FFD6EFDC"/>
        </patternFill>
      </fill>
    </dxf>
    <dxf>
      <font>
        <b/>
        <i val="0"/>
        <color rgb="FF1F4E79"/>
      </font>
      <fill>
        <patternFill patternType="solid">
          <fgColor indexed="64"/>
          <bgColor rgb="FFD9E7FB"/>
        </patternFill>
      </fill>
    </dxf>
    <dxf>
      <font>
        <b/>
        <i val="0"/>
        <color rgb="FF8A5A00"/>
      </font>
      <fill>
        <patternFill patternType="solid">
          <fgColor indexed="64"/>
          <bgColor rgb="FFFDEBD2"/>
        </patternFill>
      </fill>
    </dxf>
    <dxf>
      <font>
        <b/>
        <i val="0"/>
        <color rgb="FF9C2B33"/>
      </font>
      <fill>
        <patternFill patternType="solid">
          <fgColor indexed="64"/>
          <bgColor rgb="FFF7D6D9"/>
        </patternFill>
      </fill>
    </dxf>
    <dxf>
      <font>
        <b/>
        <i val="0"/>
        <color rgb="FF9C2B33"/>
      </font>
      <fill>
        <patternFill patternType="solid">
          <fgColor indexed="64"/>
          <bgColor rgb="FFF7D6D9"/>
        </patternFill>
      </fill>
    </dxf>
    <dxf>
      <fill>
        <patternFill patternType="solid">
          <fgColor indexed="64"/>
          <bgColor rgb="FFFDF2F4"/>
        </patternFill>
      </fill>
    </dxf>
    <dxf>
      <fill>
        <patternFill patternType="solid">
          <fgColor indexed="64"/>
          <bgColor rgb="FFFDF2F4"/>
        </patternFill>
      </fill>
    </dxf>
    <dxf>
      <fill>
        <patternFill patternType="solid">
          <fgColor indexed="64"/>
          <bgColor rgb="FFFDF2F4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8A5A00"/>
      </font>
      <fill>
        <patternFill patternType="solid">
          <fgColor indexed="64"/>
          <bgColor rgb="FFFFF0DC"/>
        </patternFill>
      </fill>
    </dxf>
    <dxf>
      <font>
        <b/>
        <i val="0"/>
        <color rgb="FF1F6E62"/>
      </font>
      <fill>
        <patternFill patternType="solid">
          <fgColor indexed="64"/>
          <bgColor rgb="FFDFF4F1"/>
        </patternFill>
      </fill>
    </dxf>
    <dxf>
      <font>
        <b/>
        <i val="0"/>
        <color rgb="FF5B3A78"/>
      </font>
      <fill>
        <patternFill patternType="solid">
          <fgColor indexed="64"/>
          <bgColor rgb="FFF0E6F6"/>
        </patternFill>
      </fill>
    </dxf>
    <dxf>
      <font>
        <b/>
        <i val="0"/>
        <color rgb="FF6B6B6B"/>
      </font>
      <fill>
        <patternFill patternType="solid">
          <fgColor indexed="64"/>
          <bgColor rgb="FFECECEC"/>
        </patternFill>
      </fill>
    </dxf>
    <dxf>
      <font>
        <b/>
        <i val="0"/>
        <color rgb="FF9C2B33"/>
      </font>
      <fill>
        <patternFill patternType="solid">
          <fgColor indexed="64"/>
          <bgColor rgb="FFF7D6D9"/>
        </patternFill>
      </fill>
    </dxf>
    <dxf>
      <font>
        <b/>
        <i val="0"/>
        <color rgb="FF1E6E3C"/>
      </font>
      <fill>
        <patternFill patternType="solid">
          <fgColor indexed="64"/>
          <bgColor rgb="FFD6EFDC"/>
        </patternFill>
      </fill>
    </dxf>
    <dxf>
      <font>
        <b/>
        <i val="0"/>
        <color rgb="FF1F4E79"/>
      </font>
      <fill>
        <patternFill patternType="solid">
          <fgColor indexed="64"/>
          <bgColor rgb="FFD9E7FB"/>
        </patternFill>
      </fill>
    </dxf>
    <dxf>
      <font>
        <b/>
        <i val="0"/>
        <color rgb="FF8A5A00"/>
      </font>
      <fill>
        <patternFill patternType="solid">
          <fgColor indexed="64"/>
          <bgColor rgb="FFFDEBD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 Display"/>
        <scheme val="major"/>
      </font>
      <fill>
        <patternFill patternType="solid">
          <fgColor indexed="64"/>
          <bgColor rgb="FFE8C1C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/>
        <bottom/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fill>
        <patternFill patternType="solid">
          <fgColor indexed="64"/>
          <bgColor rgb="FFFFFFFF"/>
        </patternFill>
      </fill>
      <alignment horizontal="left" vertical="center"/>
      <border diagonalUp="0" diagonalDown="0">
        <left style="thin">
          <color rgb="FFE8C1C0"/>
        </left>
        <right/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fill>
        <patternFill patternType="solid">
          <fgColor indexed="64"/>
          <bgColor rgb="FFFFFFFF"/>
        </patternFill>
      </fill>
      <alignment horizontal="left" vertical="center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563C1"/>
        <name val="Aptos Display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numFmt numFmtId="167" formatCode="&quot;$&quot;#,##0;\(&quot;$&quot;#,##0\);&quot;–&quot;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numFmt numFmtId="19" formatCode="m/d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numFmt numFmtId="166" formatCode="mmm\ d\,\ 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numFmt numFmtId="166" formatCode="mmm\ d\,\ 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fill>
        <patternFill patternType="solid">
          <fgColor indexed="64"/>
          <bgColor rgb="FFFFFFFF"/>
        </patternFill>
      </fill>
      <alignment horizontal="left" vertical="center"/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8C1C0"/>
        </right>
        <top style="thin">
          <color rgb="FFE8C1C0"/>
        </top>
        <bottom style="thin">
          <color rgb="FFE8C1C0"/>
        </bottom>
        <vertical style="thin">
          <color rgb="FFE8C1C0"/>
        </vertical>
        <horizontal style="thin">
          <color rgb="FFE8C1C0"/>
        </horizontal>
      </border>
    </dxf>
    <dxf>
      <fill>
        <patternFill patternType="solid">
          <fgColor indexed="64"/>
          <bgColor rgb="FFFDF2F4"/>
        </patternFill>
      </fill>
    </dxf>
    <dxf>
      <fill>
        <patternFill patternType="solid">
          <fgColor indexed="64"/>
          <bgColor rgb="FFFDF2F4"/>
        </patternFill>
      </fill>
    </dxf>
    <dxf>
      <fill>
        <patternFill patternType="solid">
          <fgColor indexed="64"/>
          <bgColor rgb="FFFDF2F4"/>
        </patternFill>
      </fill>
    </dxf>
    <dxf>
      <font>
        <b/>
        <i val="0"/>
        <color rgb="FF9C6500"/>
      </font>
      <fill>
        <patternFill patternType="solid">
          <fgColor indexed="64"/>
          <bgColor rgb="FFFFF2CC"/>
        </patternFill>
      </fill>
    </dxf>
    <dxf>
      <font>
        <b/>
        <i val="0"/>
        <color rgb="FF8A5A00"/>
      </font>
      <fill>
        <patternFill patternType="solid">
          <fgColor indexed="64"/>
          <bgColor rgb="FFFFF0DC"/>
        </patternFill>
      </fill>
    </dxf>
    <dxf>
      <font>
        <b/>
        <i val="0"/>
        <color rgb="FF1F6E62"/>
      </font>
      <fill>
        <patternFill patternType="solid">
          <fgColor indexed="64"/>
          <bgColor rgb="FFDFF4F1"/>
        </patternFill>
      </fill>
    </dxf>
    <dxf>
      <font>
        <b/>
        <i val="0"/>
        <color rgb="FF5B3A78"/>
      </font>
      <fill>
        <patternFill patternType="solid">
          <fgColor indexed="64"/>
          <bgColor rgb="FFF0E6F6"/>
        </patternFill>
      </fill>
    </dxf>
    <dxf>
      <font>
        <b/>
        <i val="0"/>
        <color rgb="FF6B6B6B"/>
      </font>
      <fill>
        <patternFill patternType="solid">
          <fgColor indexed="64"/>
          <bgColor rgb="FFECECEC"/>
        </patternFill>
      </fill>
    </dxf>
    <dxf>
      <font>
        <b/>
        <i val="0"/>
        <color rgb="FF9C2B33"/>
      </font>
      <fill>
        <patternFill patternType="solid">
          <fgColor indexed="64"/>
          <bgColor rgb="FFF7D6D9"/>
        </patternFill>
      </fill>
    </dxf>
    <dxf>
      <font>
        <b/>
        <i val="0"/>
        <color rgb="FF1E6E3C"/>
      </font>
      <fill>
        <patternFill patternType="solid">
          <fgColor indexed="64"/>
          <bgColor rgb="FFD6EFDC"/>
        </patternFill>
      </fill>
    </dxf>
    <dxf>
      <font>
        <b/>
        <i val="0"/>
        <color rgb="FF1F4E79"/>
      </font>
      <fill>
        <patternFill patternType="solid">
          <fgColor indexed="64"/>
          <bgColor rgb="FFD9E7FB"/>
        </patternFill>
      </fill>
    </dxf>
    <dxf>
      <font>
        <b/>
        <i val="0"/>
        <color rgb="FF8A5A00"/>
      </font>
      <fill>
        <patternFill patternType="solid">
          <fgColor indexed="64"/>
          <bgColor rgb="FFFDEBD2"/>
        </patternFill>
      </fill>
    </dxf>
    <dxf>
      <border>
        <top style="thin">
          <color rgb="FFE8C1C0"/>
        </top>
      </border>
    </dxf>
    <dxf>
      <border>
        <bottom style="thin">
          <color rgb="FFE8C1C0"/>
        </bottom>
      </border>
    </dxf>
    <dxf>
      <border diagonalUp="0" diagonalDown="0">
        <left style="thin">
          <color rgb="FFE8C1C0"/>
        </left>
        <right style="thin">
          <color rgb="FFE8C1C0"/>
        </right>
        <top style="thin">
          <color rgb="FFE8C1C0"/>
        </top>
        <bottom style="thin">
          <color rgb="FFE8C1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Display"/>
        <scheme val="major"/>
      </font>
      <fill>
        <patternFill patternType="solid">
          <fgColor indexed="64"/>
          <bgColor rgb="FFFFFFFF"/>
        </patternFill>
      </fill>
      <alignment horizontal="left" vertical="center"/>
    </dxf>
  </dxfs>
  <tableStyles count="0" defaultTableStyle="TableStyleMedium2" defaultPivotStyle="PivotStyleLight16"/>
  <colors>
    <mruColors>
      <color rgb="FFFDEBD2"/>
      <color rgb="FFFFF0DC"/>
      <color rgb="FF4A3B40"/>
      <color rgb="FFDDF4FF"/>
      <color rgb="FFFFECCF"/>
      <color rgb="FFFFD6E7"/>
      <color rgb="FF59522B"/>
      <color rgb="FFF8BBD0"/>
      <color rgb="FFE0E0E0"/>
      <color rgb="FFFFE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4A3B40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Applications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4A3B4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Summary!$Q$4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DEB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87-4B63-AEEE-16D6762177A1}"/>
              </c:ext>
            </c:extLst>
          </c:dPt>
          <c:dPt>
            <c:idx val="1"/>
            <c:invertIfNegative val="0"/>
            <c:bubble3D val="0"/>
            <c:spPr>
              <a:solidFill>
                <a:srgbClr val="8FB8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87-4B63-AEEE-16D6762177A1}"/>
              </c:ext>
            </c:extLst>
          </c:dPt>
          <c:dPt>
            <c:idx val="2"/>
            <c:invertIfNegative val="0"/>
            <c:bubble3D val="0"/>
            <c:spPr>
              <a:solidFill>
                <a:srgbClr val="8FC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87-4B63-AEEE-16D6762177A1}"/>
              </c:ext>
            </c:extLst>
          </c:dPt>
          <c:dPt>
            <c:idx val="3"/>
            <c:invertIfNegative val="0"/>
            <c:bubble3D val="0"/>
            <c:spPr>
              <a:solidFill>
                <a:srgbClr val="E0868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087-4B63-AEEE-16D6762177A1}"/>
              </c:ext>
            </c:extLst>
          </c:dPt>
          <c:dPt>
            <c:idx val="4"/>
            <c:invertIfNegative val="0"/>
            <c:bubble3D val="0"/>
            <c:spPr>
              <a:solidFill>
                <a:srgbClr val="C4C4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87-4B63-AEEE-16D6762177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A3B40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Summary!$P$5:$P$9</c:f>
              <c:strCache>
                <c:ptCount val="5"/>
                <c:pt idx="0">
                  <c:v>Applied</c:v>
                </c:pt>
                <c:pt idx="1">
                  <c:v>Interview</c:v>
                </c:pt>
                <c:pt idx="2">
                  <c:v>Offer</c:v>
                </c:pt>
                <c:pt idx="3">
                  <c:v>Rejected</c:v>
                </c:pt>
                <c:pt idx="4">
                  <c:v>Ghosted</c:v>
                </c:pt>
              </c:strCache>
            </c:strRef>
          </c:cat>
          <c:val>
            <c:numRef>
              <c:f>Summary!$Q$5:$Q$9</c:f>
              <c:numCache>
                <c:formatCode>General</c:formatCode>
                <c:ptCount val="5"/>
                <c:pt idx="0">
                  <c:v>13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7-4B63-AEEE-16D676217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2003376"/>
        <c:axId val="900543760"/>
      </c:barChart>
      <c:catAx>
        <c:axId val="119200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900543760"/>
        <c:crosses val="autoZero"/>
        <c:auto val="1"/>
        <c:lblAlgn val="ctr"/>
        <c:lblOffset val="100"/>
        <c:noMultiLvlLbl val="0"/>
      </c:catAx>
      <c:valAx>
        <c:axId val="90054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0E4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19200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4A3B40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Applications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4A3B4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Summary!$Q$16</c:f>
              <c:strCache>
                <c:ptCount val="1"/>
                <c:pt idx="0">
                  <c:v>Applications</c:v>
                </c:pt>
              </c:strCache>
            </c:strRef>
          </c:tx>
          <c:spPr>
            <a:ln w="31750" cap="rnd">
              <a:solidFill>
                <a:srgbClr val="A67F8C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A67F8C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A3B40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Summary!$P$17:$P$22</c:f>
              <c:numCache>
                <c:formatCode>mmm\ yyyy</c:formatCode>
                <c:ptCount val="6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</c:numCache>
            </c:numRef>
          </c:cat>
          <c:val>
            <c:numRef>
              <c:f>Summary!$Q$17:$Q$22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7-4F20-B23F-29574B31B7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2028896"/>
        <c:axId val="900551920"/>
      </c:lineChart>
      <c:dateAx>
        <c:axId val="1192028896"/>
        <c:scaling>
          <c:orientation val="minMax"/>
        </c:scaling>
        <c:delete val="0"/>
        <c:axPos val="b"/>
        <c:numFmt formatCode="mmm\ 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900551920"/>
        <c:crosses val="autoZero"/>
        <c:auto val="1"/>
        <c:lblOffset val="100"/>
        <c:baseTimeUnit val="months"/>
      </c:dateAx>
      <c:valAx>
        <c:axId val="9005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0E4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19202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4A3B40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Applications by Work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4A3B4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Summary!$Q$11</c:f>
              <c:strCache>
                <c:ptCount val="1"/>
                <c:pt idx="0">
                  <c:v>Applications</c:v>
                </c:pt>
              </c:strCache>
            </c:strRef>
          </c:tx>
          <c:dPt>
            <c:idx val="0"/>
            <c:bubble3D val="0"/>
            <c:spPr>
              <a:solidFill>
                <a:srgbClr val="FFF0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27-4426-9C0B-5108DD7F7532}"/>
              </c:ext>
            </c:extLst>
          </c:dPt>
          <c:dPt>
            <c:idx val="1"/>
            <c:bubble3D val="0"/>
            <c:spPr>
              <a:solidFill>
                <a:srgbClr val="8FB8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C27-4426-9C0B-5108DD7F7532}"/>
              </c:ext>
            </c:extLst>
          </c:dPt>
          <c:dPt>
            <c:idx val="2"/>
            <c:bubble3D val="0"/>
            <c:spPr>
              <a:solidFill>
                <a:srgbClr val="E8C1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27-4426-9C0B-5108DD7F75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Summary!$P$12:$P$14</c:f>
              <c:strCache>
                <c:ptCount val="3"/>
                <c:pt idx="0">
                  <c:v>On-site</c:v>
                </c:pt>
                <c:pt idx="1">
                  <c:v>Remote</c:v>
                </c:pt>
                <c:pt idx="2">
                  <c:v>Hybrid</c:v>
                </c:pt>
              </c:strCache>
            </c:strRef>
          </c:cat>
          <c:val>
            <c:numRef>
              <c:f>Summary!$Q$12:$Q$14</c:f>
              <c:numCache>
                <c:formatCode>General</c:formatCode>
                <c:ptCount val="3"/>
                <c:pt idx="0">
                  <c:v>14</c:v>
                </c:pt>
                <c:pt idx="1">
                  <c:v>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7-4426-9C0B-5108DD7F7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4A3B40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Applications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4A3B4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Summary!$Q$24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C9A0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A3B40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Summary!$P$25:$P$34</c:f>
              <c:strCache>
                <c:ptCount val="10"/>
                <c:pt idx="0">
                  <c:v>Chicago, IL</c:v>
                </c:pt>
                <c:pt idx="1">
                  <c:v>Boston, MA</c:v>
                </c:pt>
                <c:pt idx="2">
                  <c:v>Austin, TX</c:v>
                </c:pt>
                <c:pt idx="3">
                  <c:v>New York, NY</c:v>
                </c:pt>
                <c:pt idx="4">
                  <c:v>Seattle, WA</c:v>
                </c:pt>
                <c:pt idx="5">
                  <c:v>Atlanta, GA</c:v>
                </c:pt>
                <c:pt idx="6">
                  <c:v>Remote</c:v>
                </c:pt>
                <c:pt idx="7">
                  <c:v>San Francisco, CA</c:v>
                </c:pt>
                <c:pt idx="8">
                  <c:v>California, CA</c:v>
                </c:pt>
                <c:pt idx="9">
                  <c:v>Other / unlisted</c:v>
                </c:pt>
              </c:strCache>
            </c:strRef>
          </c:cat>
          <c:val>
            <c:numRef>
              <c:f>Summary!$Q$25:$Q$34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E-4FE3-A3CC-BBF53D739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223328"/>
        <c:axId val="1386431920"/>
      </c:barChart>
      <c:catAx>
        <c:axId val="139422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386431920"/>
        <c:crosses val="autoZero"/>
        <c:auto val="1"/>
        <c:lblAlgn val="ctr"/>
        <c:lblOffset val="100"/>
        <c:noMultiLvlLbl val="0"/>
      </c:catAx>
      <c:valAx>
        <c:axId val="138643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0E4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39422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4A3B40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Top Skills Requested (mentions across applications)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4A3B4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Summary!$Q$35</c:f>
              <c:strCache>
                <c:ptCount val="1"/>
                <c:pt idx="0">
                  <c:v>Mentions</c:v>
                </c:pt>
              </c:strCache>
            </c:strRef>
          </c:tx>
          <c:spPr>
            <a:solidFill>
              <a:srgbClr val="8C6D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A3B40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Summary!$P$36:$P$45</c:f>
              <c:strCache>
                <c:ptCount val="10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Power BI</c:v>
                </c:pt>
                <c:pt idx="4">
                  <c:v>Tableau</c:v>
                </c:pt>
                <c:pt idx="5">
                  <c:v>R</c:v>
                </c:pt>
                <c:pt idx="6">
                  <c:v>JavaScript</c:v>
                </c:pt>
                <c:pt idx="7">
                  <c:v>Data Visualization</c:v>
                </c:pt>
                <c:pt idx="8">
                  <c:v>Statistics</c:v>
                </c:pt>
                <c:pt idx="9">
                  <c:v>Other / unlisted</c:v>
                </c:pt>
              </c:strCache>
            </c:strRef>
          </c:cat>
          <c:val>
            <c:numRef>
              <c:f>Summary!$Q$36:$Q$45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F-4D4F-B450-1433ADBF8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270192"/>
        <c:axId val="1386452080"/>
      </c:barChart>
      <c:catAx>
        <c:axId val="139427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386452080"/>
        <c:crosses val="autoZero"/>
        <c:auto val="1"/>
        <c:lblAlgn val="ctr"/>
        <c:lblOffset val="100"/>
        <c:noMultiLvlLbl val="0"/>
      </c:catAx>
      <c:valAx>
        <c:axId val="13864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0E4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Display"/>
                <a:ea typeface="Aptos Display"/>
                <a:cs typeface="Aptos Display"/>
              </a:defRPr>
            </a:pPr>
            <a:endParaRPr lang="en-US"/>
          </a:p>
        </c:txPr>
        <c:crossAx val="139427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6F790-7F62-3FA0-C0DF-4EA7137AC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C46E17-67A5-F9CA-A9BC-848145B99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38CE99-E28F-3BDB-6028-03560B21D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ACFB14-C10A-0ABD-B1AE-40ADEE89E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BB4051-17F4-08D7-3AE2-C909B3F66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CB4677-723A-4203-8BE4-B731CA90925E}" name="Table2" displayName="Table2" ref="A5:M200" totalsRowShown="0" headerRowDxfId="27" dataDxfId="56" headerRowBorderDxfId="54" tableBorderDxfId="55" totalsRowBorderDxfId="53">
  <autoFilter ref="A5:M200" xr:uid="{E9CB4677-723A-4203-8BE4-B731CA90925E}"/>
  <tableColumns count="13">
    <tableColumn id="1" xr3:uid="{8B704ACD-A4E2-4837-A703-B4CFDFFD91A7}" name="#" dataDxfId="40">
      <calculatedColumnFormula>IF($C6="","",COUNTA($C$6:$C6))</calculatedColumnFormula>
    </tableColumn>
    <tableColumn id="2" xr3:uid="{13D22067-C0E6-43C5-94CF-38F1430A14BC}" name="Status" dataDxfId="39"/>
    <tableColumn id="3" xr3:uid="{5DE89536-CE46-4427-968B-C0BCAA53B5A0}" name="Company" dataDxfId="38"/>
    <tableColumn id="4" xr3:uid="{EA3BF548-90C5-4B82-A1AA-86B7D4A93132}" name="Role" dataDxfId="37"/>
    <tableColumn id="5" xr3:uid="{95CF13C3-582B-42B3-8654-C2D793269958}" name="Location" dataDxfId="36"/>
    <tableColumn id="6" xr3:uid="{883C94B9-74F9-4CF7-8C8A-FD8A14DE2038}" name="Type" dataDxfId="35"/>
    <tableColumn id="7" xr3:uid="{9DD331CB-1649-4488-A2CA-06E5A1FDD2A0}" name="Date Applied" dataDxfId="34"/>
    <tableColumn id="12" xr3:uid="{64C03907-39D9-4D94-B13B-2CE46386A1F3}" name="Deadline" dataDxfId="33"/>
    <tableColumn id="13" xr3:uid="{7CE0A32B-4C71-46E4-8D3F-CB36326CC2A4}" name="Resume Version" dataDxfId="32"/>
    <tableColumn id="9" xr3:uid="{F0223079-0F32-46E5-9C30-762170ABC824}" name="Salary" dataDxfId="31"/>
    <tableColumn id="10" xr3:uid="{ECDD54BF-CDDA-4879-93FA-E7B981103BB9}" name="Job Link" dataDxfId="30"/>
    <tableColumn id="11" xr3:uid="{B679CB29-7113-4E0C-A332-2545E106C451}" name="Notes" dataDxfId="29"/>
    <tableColumn id="14" xr3:uid="{402525A9-404A-4399-BC9A-1A302FCAD1EC}" name="Key Skills" dataDxfId="28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8E8451-E5F8-42CA-A41F-04AE59803FE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7e35203-f3cf-424b-8534-07f5f792c8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CA5D-E846-498D-9FE6-A3F8392E9349}">
  <sheetPr>
    <pageSetUpPr fitToPage="1"/>
  </sheetPr>
  <dimension ref="A1:M200"/>
  <sheetViews>
    <sheetView showGridLines="0" tabSelected="1" zoomScale="70" zoomScaleNormal="70" workbookViewId="0">
      <pane ySplit="5" topLeftCell="A6" activePane="bottomLeft" state="frozen"/>
      <selection pane="bottomLeft" activeCell="M38" sqref="M38"/>
    </sheetView>
  </sheetViews>
  <sheetFormatPr defaultRowHeight="13" x14ac:dyDescent="0.3"/>
  <cols>
    <col min="1" max="1" width="6.1796875" style="4" customWidth="1"/>
    <col min="2" max="2" width="17.453125" style="1" customWidth="1"/>
    <col min="3" max="3" width="31.26953125" style="5" customWidth="1"/>
    <col min="4" max="4" width="35.6328125" style="5" customWidth="1"/>
    <col min="5" max="5" width="23.26953125" style="5" customWidth="1"/>
    <col min="6" max="6" width="16.7265625" style="5" customWidth="1"/>
    <col min="7" max="8" width="18.1796875" style="7" customWidth="1"/>
    <col min="9" max="9" width="21.453125" style="6" customWidth="1"/>
    <col min="10" max="10" width="14.90625" style="5" customWidth="1"/>
    <col min="11" max="11" width="9.453125" style="4" customWidth="1"/>
    <col min="12" max="12" width="41.81640625" style="1" customWidth="1"/>
    <col min="13" max="13" width="36.36328125" style="1" customWidth="1"/>
    <col min="14" max="16384" width="8.7265625" style="1"/>
  </cols>
  <sheetData>
    <row r="1" spans="1:13" ht="30" customHeight="1" x14ac:dyDescent="0.6">
      <c r="A1" s="21" t="s">
        <v>144</v>
      </c>
      <c r="B1" s="21"/>
      <c r="C1" s="21"/>
      <c r="D1" s="21"/>
      <c r="E1" s="21"/>
      <c r="F1" s="18"/>
      <c r="G1" s="19"/>
      <c r="H1" s="19"/>
      <c r="I1" s="20"/>
      <c r="J1" s="23" t="str">
        <f ca="1">"Live dashboard  •  Updated "&amp;TEXT(TODAY(),"mmm d, yyyy")</f>
        <v>Live dashboard  •  Updated Aug 4, 2026</v>
      </c>
      <c r="K1" s="23"/>
      <c r="L1" s="23"/>
      <c r="M1" s="23"/>
    </row>
    <row r="2" spans="1:13" ht="18" customHeight="1" x14ac:dyDescent="0.3">
      <c r="A2" s="22" t="s">
        <v>165</v>
      </c>
      <c r="B2" s="22"/>
      <c r="C2" s="22"/>
      <c r="D2" s="22"/>
      <c r="E2" s="22"/>
      <c r="F2" s="18"/>
      <c r="G2" s="19"/>
      <c r="H2" s="19"/>
      <c r="I2" s="20"/>
      <c r="J2" s="23"/>
      <c r="K2" s="23"/>
      <c r="L2" s="23"/>
      <c r="M2" s="23"/>
    </row>
    <row r="3" spans="1:13" ht="17" customHeight="1" x14ac:dyDescent="0.3">
      <c r="A3" s="25" t="s">
        <v>166</v>
      </c>
      <c r="B3" s="24"/>
      <c r="C3" s="24"/>
      <c r="D3" s="25" t="s">
        <v>167</v>
      </c>
      <c r="E3" s="24"/>
      <c r="F3" s="25" t="s">
        <v>168</v>
      </c>
      <c r="G3" s="24"/>
      <c r="H3" s="24"/>
      <c r="I3" s="25" t="s">
        <v>169</v>
      </c>
      <c r="J3" s="24"/>
      <c r="K3" s="25" t="s">
        <v>170</v>
      </c>
      <c r="L3" s="24"/>
      <c r="M3" s="37" t="s">
        <v>171</v>
      </c>
    </row>
    <row r="4" spans="1:13" ht="32" customHeight="1" x14ac:dyDescent="0.3">
      <c r="A4" s="50">
        <f>COUNTA(Table2[Company])</f>
        <v>33</v>
      </c>
      <c r="B4" s="36"/>
      <c r="C4" s="36"/>
      <c r="D4" s="50">
        <f>COUNTIF(Table2[Status],"*Interview*")</f>
        <v>7</v>
      </c>
      <c r="E4" s="36"/>
      <c r="F4" s="50">
        <f>COUNTIF(Table2[Status],"*Offer*")</f>
        <v>2</v>
      </c>
      <c r="G4" s="36"/>
      <c r="H4" s="36"/>
      <c r="I4" s="51">
        <f>IFERROR((COUNTIF(Table2[Status],"*Interview*")+COUNTIF(Table2[Status],"*Offer*"))/COUNTA(Table2[Company]),0)</f>
        <v>0.27272727272727271</v>
      </c>
      <c r="J4" s="36"/>
      <c r="K4" s="51">
        <f>IFERROR(COUNTIF(Table2[Status],"*Offer*")/COUNTA(Table2[Company]),0)</f>
        <v>6.0606060606060608E-2</v>
      </c>
      <c r="L4" s="36"/>
      <c r="M4" s="52">
        <f>IFERROR(AVERAGE(Table2[Salary]),0)</f>
        <v>69843.75</v>
      </c>
    </row>
    <row r="5" spans="1:13" s="2" customFormat="1" ht="24" customHeight="1" x14ac:dyDescent="0.35">
      <c r="A5" s="43" t="s">
        <v>8</v>
      </c>
      <c r="B5" s="40" t="s">
        <v>0</v>
      </c>
      <c r="C5" s="40" t="s">
        <v>1</v>
      </c>
      <c r="D5" s="40" t="s">
        <v>2</v>
      </c>
      <c r="E5" s="40" t="s">
        <v>3</v>
      </c>
      <c r="F5" s="40" t="s">
        <v>4</v>
      </c>
      <c r="G5" s="41" t="s">
        <v>5</v>
      </c>
      <c r="H5" s="41" t="s">
        <v>19</v>
      </c>
      <c r="I5" s="42" t="s">
        <v>20</v>
      </c>
      <c r="J5" s="40" t="s">
        <v>9</v>
      </c>
      <c r="K5" s="43" t="s">
        <v>6</v>
      </c>
      <c r="L5" s="40" t="s">
        <v>7</v>
      </c>
      <c r="M5" s="40" t="s">
        <v>23</v>
      </c>
    </row>
    <row r="6" spans="1:13" ht="19" customHeight="1" x14ac:dyDescent="0.3">
      <c r="A6" s="53">
        <f>IF($C6="","",COUNTA($C$6:$C6))</f>
        <v>1</v>
      </c>
      <c r="B6" s="8" t="s">
        <v>15</v>
      </c>
      <c r="C6" s="8" t="s">
        <v>13</v>
      </c>
      <c r="D6" s="8" t="s">
        <v>14</v>
      </c>
      <c r="E6" s="8" t="s">
        <v>172</v>
      </c>
      <c r="F6" s="38" t="s">
        <v>17</v>
      </c>
      <c r="G6" s="10">
        <v>46238</v>
      </c>
      <c r="H6" s="10"/>
      <c r="I6" s="9" t="s">
        <v>21</v>
      </c>
      <c r="J6" s="11"/>
      <c r="K6" s="62" t="s">
        <v>22</v>
      </c>
      <c r="L6" s="8" t="s">
        <v>143</v>
      </c>
      <c r="M6" s="8" t="s">
        <v>142</v>
      </c>
    </row>
    <row r="7" spans="1:13" ht="19" customHeight="1" x14ac:dyDescent="0.3">
      <c r="A7" s="53">
        <f>IF($C7="","",COUNTA($C$6:$C7))</f>
        <v>2</v>
      </c>
      <c r="B7" s="8" t="s">
        <v>16</v>
      </c>
      <c r="C7" s="8" t="s">
        <v>24</v>
      </c>
      <c r="D7" s="8" t="s">
        <v>25</v>
      </c>
      <c r="E7" s="8" t="s">
        <v>26</v>
      </c>
      <c r="F7" s="38" t="s">
        <v>27</v>
      </c>
      <c r="G7" s="10">
        <v>46083</v>
      </c>
      <c r="H7" s="10">
        <v>46101</v>
      </c>
      <c r="I7" s="9" t="s">
        <v>28</v>
      </c>
      <c r="J7" s="11">
        <v>68000</v>
      </c>
      <c r="K7" s="12"/>
      <c r="L7" s="8" t="s">
        <v>29</v>
      </c>
      <c r="M7" s="8" t="s">
        <v>30</v>
      </c>
    </row>
    <row r="8" spans="1:13" ht="19" customHeight="1" x14ac:dyDescent="0.3">
      <c r="A8" s="53">
        <f>IF($C8="","",COUNTA($C$6:$C8))</f>
        <v>3</v>
      </c>
      <c r="B8" s="8" t="s">
        <v>31</v>
      </c>
      <c r="C8" s="8" t="s">
        <v>32</v>
      </c>
      <c r="D8" s="8" t="s">
        <v>33</v>
      </c>
      <c r="E8" s="8" t="s">
        <v>34</v>
      </c>
      <c r="F8" s="38" t="s">
        <v>17</v>
      </c>
      <c r="G8" s="10">
        <v>46086</v>
      </c>
      <c r="H8" s="10">
        <v>46106</v>
      </c>
      <c r="I8" s="9" t="s">
        <v>28</v>
      </c>
      <c r="J8" s="11">
        <v>72000</v>
      </c>
      <c r="K8" s="12"/>
      <c r="L8" s="8" t="s">
        <v>35</v>
      </c>
      <c r="M8" s="8" t="s">
        <v>36</v>
      </c>
    </row>
    <row r="9" spans="1:13" ht="19" customHeight="1" x14ac:dyDescent="0.3">
      <c r="A9" s="53">
        <f>IF($C9="","",COUNTA($C$6:$C9))</f>
        <v>4</v>
      </c>
      <c r="B9" s="8" t="s">
        <v>15</v>
      </c>
      <c r="C9" s="8" t="s">
        <v>37</v>
      </c>
      <c r="D9" s="8" t="s">
        <v>38</v>
      </c>
      <c r="E9" s="8" t="s">
        <v>39</v>
      </c>
      <c r="F9" s="38" t="s">
        <v>17</v>
      </c>
      <c r="G9" s="10">
        <v>46090</v>
      </c>
      <c r="H9" s="10">
        <v>46113</v>
      </c>
      <c r="I9" s="9" t="s">
        <v>40</v>
      </c>
      <c r="J9" s="11">
        <v>65000</v>
      </c>
      <c r="K9" s="12"/>
      <c r="L9" s="8" t="s">
        <v>41</v>
      </c>
      <c r="M9" s="8" t="s">
        <v>42</v>
      </c>
    </row>
    <row r="10" spans="1:13" ht="19" customHeight="1" x14ac:dyDescent="0.3">
      <c r="A10" s="53">
        <f>IF($C10="","",COUNTA($C$6:$C10))</f>
        <v>5</v>
      </c>
      <c r="B10" s="8" t="s">
        <v>43</v>
      </c>
      <c r="C10" s="8" t="s">
        <v>44</v>
      </c>
      <c r="D10" s="8" t="s">
        <v>45</v>
      </c>
      <c r="E10" s="8" t="s">
        <v>46</v>
      </c>
      <c r="F10" s="38" t="s">
        <v>18</v>
      </c>
      <c r="G10" s="10">
        <v>46093</v>
      </c>
      <c r="H10" s="10">
        <v>46111</v>
      </c>
      <c r="I10" s="9" t="s">
        <v>28</v>
      </c>
      <c r="J10" s="11">
        <v>60000</v>
      </c>
      <c r="K10" s="12"/>
      <c r="L10" s="8" t="s">
        <v>47</v>
      </c>
      <c r="M10" s="8" t="s">
        <v>48</v>
      </c>
    </row>
    <row r="11" spans="1:13" ht="19" customHeight="1" x14ac:dyDescent="0.3">
      <c r="A11" s="53">
        <f>IF($C11="","",COUNTA($C$6:$C11))</f>
        <v>6</v>
      </c>
      <c r="B11" s="8" t="s">
        <v>16</v>
      </c>
      <c r="C11" s="8" t="s">
        <v>49</v>
      </c>
      <c r="D11" s="8" t="s">
        <v>50</v>
      </c>
      <c r="E11" s="8" t="s">
        <v>51</v>
      </c>
      <c r="F11" s="38" t="s">
        <v>17</v>
      </c>
      <c r="G11" s="10">
        <v>46097</v>
      </c>
      <c r="H11" s="10">
        <v>46117</v>
      </c>
      <c r="I11" s="9" t="s">
        <v>52</v>
      </c>
      <c r="J11" s="11">
        <v>78000</v>
      </c>
      <c r="K11" s="12"/>
      <c r="L11" s="8" t="s">
        <v>53</v>
      </c>
      <c r="M11" s="8" t="s">
        <v>54</v>
      </c>
    </row>
    <row r="12" spans="1:13" ht="19" customHeight="1" x14ac:dyDescent="0.3">
      <c r="A12" s="53">
        <f>IF($C12="","",COUNTA($C$6:$C12))</f>
        <v>7</v>
      </c>
      <c r="B12" s="8" t="s">
        <v>31</v>
      </c>
      <c r="C12" s="8" t="s">
        <v>55</v>
      </c>
      <c r="D12" s="8" t="s">
        <v>56</v>
      </c>
      <c r="E12" s="8" t="s">
        <v>51</v>
      </c>
      <c r="F12" s="38" t="s">
        <v>27</v>
      </c>
      <c r="G12" s="10">
        <v>46101</v>
      </c>
      <c r="H12" s="10">
        <v>46122</v>
      </c>
      <c r="I12" s="9" t="s">
        <v>28</v>
      </c>
      <c r="J12" s="11">
        <v>70000</v>
      </c>
      <c r="K12" s="12"/>
      <c r="L12" s="8" t="s">
        <v>57</v>
      </c>
      <c r="M12" s="8" t="s">
        <v>58</v>
      </c>
    </row>
    <row r="13" spans="1:13" ht="19" customHeight="1" x14ac:dyDescent="0.3">
      <c r="A13" s="53">
        <f>IF($C13="","",COUNTA($C$6:$C13))</f>
        <v>8</v>
      </c>
      <c r="B13" s="8" t="s">
        <v>15</v>
      </c>
      <c r="C13" s="8" t="s">
        <v>59</v>
      </c>
      <c r="D13" s="8" t="s">
        <v>25</v>
      </c>
      <c r="E13" s="8" t="s">
        <v>60</v>
      </c>
      <c r="F13" s="38" t="s">
        <v>17</v>
      </c>
      <c r="G13" s="10">
        <v>46105</v>
      </c>
      <c r="H13" s="10">
        <v>46127</v>
      </c>
      <c r="I13" s="9" t="s">
        <v>28</v>
      </c>
      <c r="J13" s="11">
        <v>67000</v>
      </c>
      <c r="K13" s="12"/>
      <c r="L13" s="8" t="s">
        <v>61</v>
      </c>
      <c r="M13" s="8" t="s">
        <v>62</v>
      </c>
    </row>
    <row r="14" spans="1:13" ht="19" customHeight="1" x14ac:dyDescent="0.3">
      <c r="A14" s="53">
        <f>IF($C14="","",COUNTA($C$6:$C14))</f>
        <v>9</v>
      </c>
      <c r="B14" s="8" t="s">
        <v>63</v>
      </c>
      <c r="C14" s="8" t="s">
        <v>64</v>
      </c>
      <c r="D14" s="8" t="s">
        <v>65</v>
      </c>
      <c r="E14" s="8" t="s">
        <v>26</v>
      </c>
      <c r="F14" s="38" t="s">
        <v>27</v>
      </c>
      <c r="G14" s="10">
        <v>46108</v>
      </c>
      <c r="H14" s="10">
        <v>46130</v>
      </c>
      <c r="I14" s="9" t="s">
        <v>28</v>
      </c>
      <c r="J14" s="11">
        <v>74000</v>
      </c>
      <c r="K14" s="12"/>
      <c r="L14" s="8" t="s">
        <v>66</v>
      </c>
      <c r="M14" s="8" t="s">
        <v>67</v>
      </c>
    </row>
    <row r="15" spans="1:13" ht="19" customHeight="1" x14ac:dyDescent="0.3">
      <c r="A15" s="53">
        <f>IF($C15="","",COUNTA($C$6:$C15))</f>
        <v>10</v>
      </c>
      <c r="B15" s="8" t="s">
        <v>15</v>
      </c>
      <c r="C15" s="8" t="s">
        <v>68</v>
      </c>
      <c r="D15" s="8" t="s">
        <v>69</v>
      </c>
      <c r="E15" s="8" t="s">
        <v>70</v>
      </c>
      <c r="F15" s="38" t="s">
        <v>18</v>
      </c>
      <c r="G15" s="10">
        <v>46114</v>
      </c>
      <c r="H15" s="10">
        <v>46134</v>
      </c>
      <c r="I15" s="9" t="s">
        <v>71</v>
      </c>
      <c r="J15" s="11">
        <v>71000</v>
      </c>
      <c r="K15" s="12"/>
      <c r="L15" s="8" t="s">
        <v>72</v>
      </c>
      <c r="M15" s="8" t="s">
        <v>73</v>
      </c>
    </row>
    <row r="16" spans="1:13" ht="19" customHeight="1" x14ac:dyDescent="0.3">
      <c r="A16" s="53">
        <f>IF($C16="","",COUNTA($C$6:$C16))</f>
        <v>11</v>
      </c>
      <c r="B16" s="8" t="s">
        <v>16</v>
      </c>
      <c r="C16" s="8" t="s">
        <v>74</v>
      </c>
      <c r="D16" s="8" t="s">
        <v>33</v>
      </c>
      <c r="E16" s="8" t="s">
        <v>26</v>
      </c>
      <c r="F16" s="38" t="s">
        <v>17</v>
      </c>
      <c r="G16" s="10">
        <v>46118</v>
      </c>
      <c r="H16" s="10">
        <v>46140</v>
      </c>
      <c r="I16" s="9" t="s">
        <v>28</v>
      </c>
      <c r="J16" s="11">
        <v>69000</v>
      </c>
      <c r="K16" s="12"/>
      <c r="L16" s="8" t="s">
        <v>75</v>
      </c>
      <c r="M16" s="8" t="s">
        <v>76</v>
      </c>
    </row>
    <row r="17" spans="1:13" ht="19" customHeight="1" x14ac:dyDescent="0.3">
      <c r="A17" s="53">
        <f>IF($C17="","",COUNTA($C$6:$C17))</f>
        <v>12</v>
      </c>
      <c r="B17" s="8" t="s">
        <v>31</v>
      </c>
      <c r="C17" s="8" t="s">
        <v>77</v>
      </c>
      <c r="D17" s="8" t="s">
        <v>78</v>
      </c>
      <c r="E17" s="8" t="s">
        <v>46</v>
      </c>
      <c r="F17" s="38" t="s">
        <v>18</v>
      </c>
      <c r="G17" s="10">
        <v>46122</v>
      </c>
      <c r="H17" s="10">
        <v>46143</v>
      </c>
      <c r="I17" s="9" t="s">
        <v>79</v>
      </c>
      <c r="J17" s="11">
        <v>82000</v>
      </c>
      <c r="K17" s="12"/>
      <c r="L17" s="8" t="s">
        <v>80</v>
      </c>
      <c r="M17" s="8" t="s">
        <v>81</v>
      </c>
    </row>
    <row r="18" spans="1:13" ht="19" customHeight="1" x14ac:dyDescent="0.3">
      <c r="A18" s="53">
        <f>IF($C18="","",COUNTA($C$6:$C18))</f>
        <v>13</v>
      </c>
      <c r="B18" s="8" t="s">
        <v>15</v>
      </c>
      <c r="C18" s="8" t="s">
        <v>82</v>
      </c>
      <c r="D18" s="8" t="s">
        <v>25</v>
      </c>
      <c r="E18" s="8" t="s">
        <v>34</v>
      </c>
      <c r="F18" s="38" t="s">
        <v>17</v>
      </c>
      <c r="G18" s="10">
        <v>46126</v>
      </c>
      <c r="H18" s="10">
        <v>46147</v>
      </c>
      <c r="I18" s="9" t="s">
        <v>28</v>
      </c>
      <c r="J18" s="11">
        <v>66000</v>
      </c>
      <c r="K18" s="12"/>
      <c r="L18" s="8" t="s">
        <v>83</v>
      </c>
      <c r="M18" s="8" t="s">
        <v>84</v>
      </c>
    </row>
    <row r="19" spans="1:13" ht="19" customHeight="1" x14ac:dyDescent="0.3">
      <c r="A19" s="53">
        <f>IF($C19="","",COUNTA($C$6:$C19))</f>
        <v>14</v>
      </c>
      <c r="B19" s="8" t="s">
        <v>43</v>
      </c>
      <c r="C19" s="8" t="s">
        <v>85</v>
      </c>
      <c r="D19" s="8" t="s">
        <v>38</v>
      </c>
      <c r="E19" s="8" t="s">
        <v>39</v>
      </c>
      <c r="F19" s="38" t="s">
        <v>27</v>
      </c>
      <c r="G19" s="10">
        <v>46129</v>
      </c>
      <c r="H19" s="10">
        <v>46150</v>
      </c>
      <c r="I19" s="9" t="s">
        <v>40</v>
      </c>
      <c r="J19" s="11">
        <v>62000</v>
      </c>
      <c r="K19" s="12"/>
      <c r="L19" s="8" t="s">
        <v>86</v>
      </c>
      <c r="M19" s="8" t="s">
        <v>87</v>
      </c>
    </row>
    <row r="20" spans="1:13" ht="19" customHeight="1" x14ac:dyDescent="0.3">
      <c r="A20" s="53">
        <f>IF($C20="","",COUNTA($C$6:$C20))</f>
        <v>15</v>
      </c>
      <c r="B20" s="8" t="s">
        <v>16</v>
      </c>
      <c r="C20" s="8" t="s">
        <v>88</v>
      </c>
      <c r="D20" s="8" t="s">
        <v>50</v>
      </c>
      <c r="E20" s="8" t="s">
        <v>51</v>
      </c>
      <c r="F20" s="38" t="s">
        <v>17</v>
      </c>
      <c r="G20" s="10">
        <v>46133</v>
      </c>
      <c r="H20" s="10">
        <v>46154</v>
      </c>
      <c r="I20" s="9" t="s">
        <v>52</v>
      </c>
      <c r="J20" s="11">
        <v>85000</v>
      </c>
      <c r="K20" s="12"/>
      <c r="L20" s="8" t="s">
        <v>89</v>
      </c>
      <c r="M20" s="8" t="s">
        <v>90</v>
      </c>
    </row>
    <row r="21" spans="1:13" ht="19" customHeight="1" x14ac:dyDescent="0.3">
      <c r="A21" s="53">
        <f>IF($C21="","",COUNTA($C$6:$C21))</f>
        <v>16</v>
      </c>
      <c r="B21" s="8" t="s">
        <v>31</v>
      </c>
      <c r="C21" s="8" t="s">
        <v>91</v>
      </c>
      <c r="D21" s="8" t="s">
        <v>65</v>
      </c>
      <c r="E21" s="8" t="s">
        <v>26</v>
      </c>
      <c r="F21" s="38" t="s">
        <v>27</v>
      </c>
      <c r="G21" s="10">
        <v>46139</v>
      </c>
      <c r="H21" s="10">
        <v>46157</v>
      </c>
      <c r="I21" s="9" t="s">
        <v>28</v>
      </c>
      <c r="J21" s="11">
        <v>75000</v>
      </c>
      <c r="K21" s="12"/>
      <c r="L21" s="8" t="s">
        <v>92</v>
      </c>
      <c r="M21" s="8" t="s">
        <v>36</v>
      </c>
    </row>
    <row r="22" spans="1:13" ht="19" customHeight="1" x14ac:dyDescent="0.3">
      <c r="A22" s="53">
        <f>IF($C22="","",COUNTA($C$6:$C22))</f>
        <v>17</v>
      </c>
      <c r="B22" s="8" t="s">
        <v>15</v>
      </c>
      <c r="C22" s="8" t="s">
        <v>93</v>
      </c>
      <c r="D22" s="8" t="s">
        <v>45</v>
      </c>
      <c r="E22" s="8" t="s">
        <v>46</v>
      </c>
      <c r="F22" s="38" t="s">
        <v>18</v>
      </c>
      <c r="G22" s="10">
        <v>46143</v>
      </c>
      <c r="H22" s="10">
        <v>46164</v>
      </c>
      <c r="I22" s="9" t="s">
        <v>28</v>
      </c>
      <c r="J22" s="11">
        <v>58000</v>
      </c>
      <c r="K22" s="12"/>
      <c r="L22" s="8" t="s">
        <v>94</v>
      </c>
      <c r="M22" s="8" t="s">
        <v>95</v>
      </c>
    </row>
    <row r="23" spans="1:13" ht="19" customHeight="1" x14ac:dyDescent="0.3">
      <c r="A23" s="53">
        <f>IF($C23="","",COUNTA($C$6:$C23))</f>
        <v>18</v>
      </c>
      <c r="B23" s="8" t="s">
        <v>16</v>
      </c>
      <c r="C23" s="8" t="s">
        <v>96</v>
      </c>
      <c r="D23" s="8" t="s">
        <v>25</v>
      </c>
      <c r="E23" s="8" t="s">
        <v>70</v>
      </c>
      <c r="F23" s="38" t="s">
        <v>17</v>
      </c>
      <c r="G23" s="10">
        <v>46147</v>
      </c>
      <c r="H23" s="10">
        <v>46168</v>
      </c>
      <c r="I23" s="9" t="s">
        <v>28</v>
      </c>
      <c r="J23" s="11">
        <v>70000</v>
      </c>
      <c r="K23" s="12"/>
      <c r="L23" s="8" t="s">
        <v>97</v>
      </c>
      <c r="M23" s="8" t="s">
        <v>98</v>
      </c>
    </row>
    <row r="24" spans="1:13" ht="19" customHeight="1" x14ac:dyDescent="0.3">
      <c r="A24" s="53">
        <f>IF($C24="","",COUNTA($C$6:$C24))</f>
        <v>19</v>
      </c>
      <c r="B24" s="8" t="s">
        <v>15</v>
      </c>
      <c r="C24" s="8" t="s">
        <v>99</v>
      </c>
      <c r="D24" s="8" t="s">
        <v>56</v>
      </c>
      <c r="E24" s="8" t="s">
        <v>39</v>
      </c>
      <c r="F24" s="38" t="s">
        <v>27</v>
      </c>
      <c r="G24" s="10">
        <v>46150</v>
      </c>
      <c r="H24" s="10">
        <v>46171</v>
      </c>
      <c r="I24" s="9" t="s">
        <v>28</v>
      </c>
      <c r="J24" s="11">
        <v>64000</v>
      </c>
      <c r="K24" s="12"/>
      <c r="L24" s="8" t="s">
        <v>100</v>
      </c>
      <c r="M24" s="8" t="s">
        <v>101</v>
      </c>
    </row>
    <row r="25" spans="1:13" ht="19" customHeight="1" x14ac:dyDescent="0.3">
      <c r="A25" s="53">
        <f>IF($C25="","",COUNTA($C$6:$C25))</f>
        <v>20</v>
      </c>
      <c r="B25" s="8" t="s">
        <v>43</v>
      </c>
      <c r="C25" s="8" t="s">
        <v>102</v>
      </c>
      <c r="D25" s="8" t="s">
        <v>38</v>
      </c>
      <c r="E25" s="8" t="s">
        <v>60</v>
      </c>
      <c r="F25" s="38" t="s">
        <v>17</v>
      </c>
      <c r="G25" s="10">
        <v>46154</v>
      </c>
      <c r="H25" s="10">
        <v>46175</v>
      </c>
      <c r="I25" s="9" t="s">
        <v>40</v>
      </c>
      <c r="J25" s="11">
        <v>63000</v>
      </c>
      <c r="K25" s="12"/>
      <c r="L25" s="8" t="s">
        <v>103</v>
      </c>
      <c r="M25" s="8" t="s">
        <v>87</v>
      </c>
    </row>
    <row r="26" spans="1:13" ht="19" customHeight="1" x14ac:dyDescent="0.3">
      <c r="A26" s="53">
        <f>IF($C26="","",COUNTA($C$6:$C26))</f>
        <v>21</v>
      </c>
      <c r="B26" s="8" t="s">
        <v>31</v>
      </c>
      <c r="C26" s="8" t="s">
        <v>104</v>
      </c>
      <c r="D26" s="8" t="s">
        <v>78</v>
      </c>
      <c r="E26" s="8" t="s">
        <v>46</v>
      </c>
      <c r="F26" s="38" t="s">
        <v>18</v>
      </c>
      <c r="G26" s="10">
        <v>46160</v>
      </c>
      <c r="H26" s="10">
        <v>46181</v>
      </c>
      <c r="I26" s="9" t="s">
        <v>79</v>
      </c>
      <c r="J26" s="11">
        <v>84000</v>
      </c>
      <c r="K26" s="12"/>
      <c r="L26" s="8" t="s">
        <v>105</v>
      </c>
      <c r="M26" s="8" t="s">
        <v>106</v>
      </c>
    </row>
    <row r="27" spans="1:13" ht="19" customHeight="1" x14ac:dyDescent="0.3">
      <c r="A27" s="53">
        <f>IF($C27="","",COUNTA($C$6:$C27))</f>
        <v>22</v>
      </c>
      <c r="B27" s="8" t="s">
        <v>15</v>
      </c>
      <c r="C27" s="8" t="s">
        <v>107</v>
      </c>
      <c r="D27" s="8" t="s">
        <v>33</v>
      </c>
      <c r="E27" s="8" t="s">
        <v>51</v>
      </c>
      <c r="F27" s="38" t="s">
        <v>27</v>
      </c>
      <c r="G27" s="10">
        <v>46164</v>
      </c>
      <c r="H27" s="10">
        <v>46185</v>
      </c>
      <c r="I27" s="9" t="s">
        <v>28</v>
      </c>
      <c r="J27" s="11">
        <v>68000</v>
      </c>
      <c r="K27" s="12"/>
      <c r="L27" s="8" t="s">
        <v>108</v>
      </c>
      <c r="M27" s="8" t="s">
        <v>109</v>
      </c>
    </row>
    <row r="28" spans="1:13" ht="19" customHeight="1" x14ac:dyDescent="0.3">
      <c r="A28" s="53">
        <f>IF($C28="","",COUNTA($C$6:$C28))</f>
        <v>23</v>
      </c>
      <c r="B28" s="8" t="s">
        <v>16</v>
      </c>
      <c r="C28" s="8" t="s">
        <v>110</v>
      </c>
      <c r="D28" s="8" t="s">
        <v>25</v>
      </c>
      <c r="E28" s="8" t="s">
        <v>60</v>
      </c>
      <c r="F28" s="38" t="s">
        <v>17</v>
      </c>
      <c r="G28" s="10">
        <v>46169</v>
      </c>
      <c r="H28" s="10">
        <v>46189</v>
      </c>
      <c r="I28" s="9" t="s">
        <v>28</v>
      </c>
      <c r="J28" s="11">
        <v>72000</v>
      </c>
      <c r="K28" s="12"/>
      <c r="L28" s="8" t="s">
        <v>111</v>
      </c>
      <c r="M28" s="8" t="s">
        <v>112</v>
      </c>
    </row>
    <row r="29" spans="1:13" ht="19" customHeight="1" x14ac:dyDescent="0.3">
      <c r="A29" s="53">
        <f>IF($C29="","",COUNTA($C$6:$C29))</f>
        <v>24</v>
      </c>
      <c r="B29" s="8" t="s">
        <v>63</v>
      </c>
      <c r="C29" s="8" t="s">
        <v>113</v>
      </c>
      <c r="D29" s="8" t="s">
        <v>65</v>
      </c>
      <c r="E29" s="8" t="s">
        <v>34</v>
      </c>
      <c r="F29" s="38" t="s">
        <v>27</v>
      </c>
      <c r="G29" s="10">
        <v>46174</v>
      </c>
      <c r="H29" s="10">
        <v>46195</v>
      </c>
      <c r="I29" s="9" t="s">
        <v>28</v>
      </c>
      <c r="J29" s="11">
        <v>76000</v>
      </c>
      <c r="K29" s="12"/>
      <c r="L29" s="8" t="s">
        <v>114</v>
      </c>
      <c r="M29" s="8" t="s">
        <v>115</v>
      </c>
    </row>
    <row r="30" spans="1:13" ht="19" customHeight="1" x14ac:dyDescent="0.3">
      <c r="A30" s="53">
        <f>IF($C30="","",COUNTA($C$6:$C30))</f>
        <v>25</v>
      </c>
      <c r="B30" s="8" t="s">
        <v>15</v>
      </c>
      <c r="C30" s="8" t="s">
        <v>116</v>
      </c>
      <c r="D30" s="8" t="s">
        <v>50</v>
      </c>
      <c r="E30" s="8" t="s">
        <v>34</v>
      </c>
      <c r="F30" s="38" t="s">
        <v>17</v>
      </c>
      <c r="G30" s="10">
        <v>46178</v>
      </c>
      <c r="H30" s="10">
        <v>46199</v>
      </c>
      <c r="I30" s="9" t="s">
        <v>52</v>
      </c>
      <c r="J30" s="11">
        <v>73000</v>
      </c>
      <c r="K30" s="12"/>
      <c r="L30" s="8" t="s">
        <v>117</v>
      </c>
      <c r="M30" s="8" t="s">
        <v>54</v>
      </c>
    </row>
    <row r="31" spans="1:13" ht="19" customHeight="1" x14ac:dyDescent="0.3">
      <c r="A31" s="53">
        <f>IF($C31="","",COUNTA($C$6:$C31))</f>
        <v>26</v>
      </c>
      <c r="B31" s="8" t="s">
        <v>31</v>
      </c>
      <c r="C31" s="8" t="s">
        <v>118</v>
      </c>
      <c r="D31" s="8" t="s">
        <v>69</v>
      </c>
      <c r="E31" s="8" t="s">
        <v>119</v>
      </c>
      <c r="F31" s="38" t="s">
        <v>18</v>
      </c>
      <c r="G31" s="10">
        <v>46183</v>
      </c>
      <c r="H31" s="10">
        <v>46204</v>
      </c>
      <c r="I31" s="9" t="s">
        <v>71</v>
      </c>
      <c r="J31" s="11">
        <v>80000</v>
      </c>
      <c r="K31" s="12"/>
      <c r="L31" s="8" t="s">
        <v>120</v>
      </c>
      <c r="M31" s="8" t="s">
        <v>121</v>
      </c>
    </row>
    <row r="32" spans="1:13" ht="19" customHeight="1" x14ac:dyDescent="0.3">
      <c r="A32" s="53">
        <f>IF($C32="","",COUNTA($C$6:$C32))</f>
        <v>27</v>
      </c>
      <c r="B32" s="8" t="s">
        <v>43</v>
      </c>
      <c r="C32" s="8" t="s">
        <v>122</v>
      </c>
      <c r="D32" s="8" t="s">
        <v>45</v>
      </c>
      <c r="E32" s="8" t="s">
        <v>70</v>
      </c>
      <c r="F32" s="38" t="s">
        <v>17</v>
      </c>
      <c r="G32" s="10">
        <v>46188</v>
      </c>
      <c r="H32" s="10">
        <v>46209</v>
      </c>
      <c r="I32" s="9" t="s">
        <v>28</v>
      </c>
      <c r="J32" s="11">
        <v>61000</v>
      </c>
      <c r="K32" s="12"/>
      <c r="L32" s="8" t="s">
        <v>123</v>
      </c>
      <c r="M32" s="8" t="s">
        <v>48</v>
      </c>
    </row>
    <row r="33" spans="1:13" ht="19" customHeight="1" x14ac:dyDescent="0.3">
      <c r="A33" s="53">
        <f>IF($C33="","",COUNTA($C$6:$C33))</f>
        <v>28</v>
      </c>
      <c r="B33" s="8" t="s">
        <v>15</v>
      </c>
      <c r="C33" s="8" t="s">
        <v>124</v>
      </c>
      <c r="D33" s="8" t="s">
        <v>25</v>
      </c>
      <c r="E33" s="8" t="s">
        <v>26</v>
      </c>
      <c r="F33" s="38" t="s">
        <v>27</v>
      </c>
      <c r="G33" s="10">
        <v>46195</v>
      </c>
      <c r="H33" s="10">
        <v>46216</v>
      </c>
      <c r="I33" s="9" t="s">
        <v>28</v>
      </c>
      <c r="J33" s="11">
        <v>74000</v>
      </c>
      <c r="K33" s="12"/>
      <c r="L33" s="8" t="s">
        <v>125</v>
      </c>
      <c r="M33" s="8" t="s">
        <v>126</v>
      </c>
    </row>
    <row r="34" spans="1:13" ht="19" customHeight="1" x14ac:dyDescent="0.3">
      <c r="A34" s="53">
        <f>IF($C34="","",COUNTA($C$6:$C34))</f>
        <v>29</v>
      </c>
      <c r="B34" s="8" t="s">
        <v>16</v>
      </c>
      <c r="C34" s="8" t="s">
        <v>127</v>
      </c>
      <c r="D34" s="8" t="s">
        <v>33</v>
      </c>
      <c r="E34" s="8" t="s">
        <v>60</v>
      </c>
      <c r="F34" s="38" t="s">
        <v>17</v>
      </c>
      <c r="G34" s="10">
        <v>46202</v>
      </c>
      <c r="H34" s="10">
        <v>46220</v>
      </c>
      <c r="I34" s="9" t="s">
        <v>28</v>
      </c>
      <c r="J34" s="11">
        <v>66000</v>
      </c>
      <c r="K34" s="12"/>
      <c r="L34" s="8" t="s">
        <v>128</v>
      </c>
      <c r="M34" s="8" t="s">
        <v>129</v>
      </c>
    </row>
    <row r="35" spans="1:13" ht="19" customHeight="1" x14ac:dyDescent="0.3">
      <c r="A35" s="53">
        <f>IF($C35="","",COUNTA($C$6:$C35))</f>
        <v>30</v>
      </c>
      <c r="B35" s="8" t="s">
        <v>15</v>
      </c>
      <c r="C35" s="8" t="s">
        <v>130</v>
      </c>
      <c r="D35" s="8" t="s">
        <v>56</v>
      </c>
      <c r="E35" s="8" t="s">
        <v>39</v>
      </c>
      <c r="F35" s="38" t="s">
        <v>27</v>
      </c>
      <c r="G35" s="10">
        <v>46209</v>
      </c>
      <c r="H35" s="10">
        <v>46230</v>
      </c>
      <c r="I35" s="9" t="s">
        <v>28</v>
      </c>
      <c r="J35" s="11">
        <v>65000</v>
      </c>
      <c r="K35" s="12"/>
      <c r="L35" s="8" t="s">
        <v>131</v>
      </c>
      <c r="M35" s="8" t="s">
        <v>132</v>
      </c>
    </row>
    <row r="36" spans="1:13" ht="19" customHeight="1" x14ac:dyDescent="0.3">
      <c r="A36" s="53">
        <f>IF($C36="","",COUNTA($C$6:$C36))</f>
        <v>31</v>
      </c>
      <c r="B36" s="8" t="s">
        <v>31</v>
      </c>
      <c r="C36" s="8" t="s">
        <v>133</v>
      </c>
      <c r="D36" s="8" t="s">
        <v>65</v>
      </c>
      <c r="E36" s="8" t="s">
        <v>70</v>
      </c>
      <c r="F36" s="38" t="s">
        <v>27</v>
      </c>
      <c r="G36" s="10">
        <v>46216</v>
      </c>
      <c r="H36" s="10">
        <v>46237</v>
      </c>
      <c r="I36" s="9" t="s">
        <v>28</v>
      </c>
      <c r="J36" s="11">
        <v>77000</v>
      </c>
      <c r="K36" s="12"/>
      <c r="L36" s="8" t="s">
        <v>134</v>
      </c>
      <c r="M36" s="8" t="s">
        <v>135</v>
      </c>
    </row>
    <row r="37" spans="1:13" ht="19" customHeight="1" x14ac:dyDescent="0.3">
      <c r="A37" s="53">
        <f>IF($C37="","",COUNTA($C$6:$C37))</f>
        <v>32</v>
      </c>
      <c r="B37" s="8" t="s">
        <v>15</v>
      </c>
      <c r="C37" s="8" t="s">
        <v>136</v>
      </c>
      <c r="D37" s="8" t="s">
        <v>25</v>
      </c>
      <c r="E37" s="8" t="s">
        <v>60</v>
      </c>
      <c r="F37" s="38" t="s">
        <v>18</v>
      </c>
      <c r="G37" s="10">
        <v>46223</v>
      </c>
      <c r="H37" s="10">
        <v>46244</v>
      </c>
      <c r="I37" s="9" t="s">
        <v>28</v>
      </c>
      <c r="J37" s="11">
        <v>64000</v>
      </c>
      <c r="K37" s="12"/>
      <c r="L37" s="8" t="s">
        <v>137</v>
      </c>
      <c r="M37" s="8" t="s">
        <v>138</v>
      </c>
    </row>
    <row r="38" spans="1:13" ht="19" customHeight="1" x14ac:dyDescent="0.3">
      <c r="A38" s="54">
        <f>IF($C38="","",COUNTA($C$6:$C38))</f>
        <v>33</v>
      </c>
      <c r="B38" s="13" t="s">
        <v>15</v>
      </c>
      <c r="C38" s="13" t="s">
        <v>139</v>
      </c>
      <c r="D38" s="13" t="s">
        <v>45</v>
      </c>
      <c r="E38" s="13" t="s">
        <v>46</v>
      </c>
      <c r="F38" s="39" t="s">
        <v>18</v>
      </c>
      <c r="G38" s="14">
        <v>46231</v>
      </c>
      <c r="H38" s="14">
        <v>46252</v>
      </c>
      <c r="I38" s="15" t="s">
        <v>28</v>
      </c>
      <c r="J38" s="16">
        <v>56000</v>
      </c>
      <c r="K38" s="17"/>
      <c r="L38" s="13" t="s">
        <v>140</v>
      </c>
      <c r="M38" s="13" t="s">
        <v>141</v>
      </c>
    </row>
    <row r="39" spans="1:13" ht="19" customHeight="1" x14ac:dyDescent="0.35">
      <c r="A39" s="44" t="str">
        <f>IF($C39="","",COUNTA($C$6:$C39))</f>
        <v/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9" customHeight="1" x14ac:dyDescent="0.3">
      <c r="A40" s="44" t="str">
        <f>IF($C40="","",COUNTA($C$6:$C40))</f>
        <v/>
      </c>
      <c r="B40" s="45"/>
      <c r="C40" s="45"/>
      <c r="D40" s="45"/>
      <c r="E40" s="45"/>
      <c r="F40" s="45"/>
      <c r="G40" s="46"/>
      <c r="H40" s="46"/>
      <c r="I40" s="47"/>
      <c r="J40" s="48"/>
      <c r="K40" s="49"/>
      <c r="L40" s="45"/>
      <c r="M40" s="45"/>
    </row>
    <row r="41" spans="1:13" ht="19" customHeight="1" x14ac:dyDescent="0.3">
      <c r="A41" s="44" t="str">
        <f>IF($C41="","",COUNTA($C$6:$C41))</f>
        <v/>
      </c>
      <c r="B41" s="45"/>
      <c r="C41" s="45"/>
      <c r="D41" s="45"/>
      <c r="E41" s="45"/>
      <c r="F41" s="45"/>
      <c r="G41" s="46"/>
      <c r="H41" s="46"/>
      <c r="I41" s="47"/>
      <c r="J41" s="48"/>
      <c r="K41" s="49"/>
      <c r="L41" s="45"/>
      <c r="M41" s="45"/>
    </row>
    <row r="42" spans="1:13" ht="19" customHeight="1" x14ac:dyDescent="0.3">
      <c r="A42" s="44" t="str">
        <f>IF($C42="","",COUNTA($C$6:$C42))</f>
        <v/>
      </c>
      <c r="B42" s="45"/>
      <c r="C42" s="45"/>
      <c r="D42" s="45"/>
      <c r="E42" s="45"/>
      <c r="F42" s="45"/>
      <c r="G42" s="46"/>
      <c r="H42" s="46"/>
      <c r="I42" s="47"/>
      <c r="J42" s="48"/>
      <c r="K42" s="49"/>
      <c r="L42" s="45"/>
      <c r="M42" s="45"/>
    </row>
    <row r="43" spans="1:13" ht="19" customHeight="1" x14ac:dyDescent="0.3">
      <c r="A43" s="44" t="str">
        <f>IF($C43="","",COUNTA($C$6:$C43))</f>
        <v/>
      </c>
      <c r="B43" s="45"/>
      <c r="C43" s="45"/>
      <c r="D43" s="45"/>
      <c r="E43" s="45"/>
      <c r="F43" s="45"/>
      <c r="G43" s="46"/>
      <c r="H43" s="46"/>
      <c r="I43" s="47"/>
      <c r="J43" s="48"/>
      <c r="K43" s="49"/>
      <c r="L43" s="45"/>
      <c r="M43" s="45"/>
    </row>
    <row r="44" spans="1:13" ht="19" customHeight="1" x14ac:dyDescent="0.3">
      <c r="A44" s="44" t="str">
        <f>IF($C44="","",COUNTA($C$6:$C44))</f>
        <v/>
      </c>
      <c r="B44" s="45"/>
      <c r="C44" s="45"/>
      <c r="D44" s="45"/>
      <c r="E44" s="45"/>
      <c r="F44" s="45"/>
      <c r="G44" s="46"/>
      <c r="H44" s="46"/>
      <c r="I44" s="47"/>
      <c r="J44" s="48"/>
      <c r="K44" s="49"/>
      <c r="L44" s="45"/>
      <c r="M44" s="45"/>
    </row>
    <row r="45" spans="1:13" ht="19" customHeight="1" x14ac:dyDescent="0.3">
      <c r="A45" s="44" t="str">
        <f>IF($C45="","",COUNTA($C$6:$C45))</f>
        <v/>
      </c>
      <c r="B45" s="45"/>
      <c r="C45" s="45"/>
      <c r="D45" s="45"/>
      <c r="E45" s="45"/>
      <c r="F45" s="45"/>
      <c r="G45" s="46"/>
      <c r="H45" s="46"/>
      <c r="I45" s="47"/>
      <c r="J45" s="48"/>
      <c r="K45" s="49"/>
      <c r="L45" s="45"/>
      <c r="M45" s="45"/>
    </row>
    <row r="46" spans="1:13" ht="19" customHeight="1" x14ac:dyDescent="0.3">
      <c r="A46" s="44" t="str">
        <f>IF($C46="","",COUNTA($C$6:$C46))</f>
        <v/>
      </c>
      <c r="B46" s="45"/>
      <c r="C46" s="45"/>
      <c r="D46" s="45"/>
      <c r="E46" s="45"/>
      <c r="F46" s="45"/>
      <c r="G46" s="46"/>
      <c r="H46" s="46"/>
      <c r="I46" s="47"/>
      <c r="J46" s="48"/>
      <c r="K46" s="49"/>
      <c r="L46" s="45"/>
      <c r="M46" s="45"/>
    </row>
    <row r="47" spans="1:13" ht="19" customHeight="1" x14ac:dyDescent="0.3">
      <c r="A47" s="44" t="str">
        <f>IF($C47="","",COUNTA($C$6:$C47))</f>
        <v/>
      </c>
      <c r="B47" s="45"/>
      <c r="C47" s="45"/>
      <c r="D47" s="45"/>
      <c r="E47" s="45"/>
      <c r="F47" s="45"/>
      <c r="G47" s="46"/>
      <c r="H47" s="46"/>
      <c r="I47" s="47"/>
      <c r="J47" s="48"/>
      <c r="K47" s="49"/>
      <c r="L47" s="45"/>
      <c r="M47" s="45"/>
    </row>
    <row r="48" spans="1:13" ht="19" customHeight="1" x14ac:dyDescent="0.3">
      <c r="A48" s="44" t="str">
        <f>IF($C48="","",COUNTA($C$6:$C48))</f>
        <v/>
      </c>
      <c r="B48" s="45"/>
      <c r="C48" s="45"/>
      <c r="D48" s="45"/>
      <c r="E48" s="45"/>
      <c r="F48" s="45"/>
      <c r="G48" s="46"/>
      <c r="H48" s="46"/>
      <c r="I48" s="47"/>
      <c r="J48" s="48"/>
      <c r="K48" s="49"/>
      <c r="L48" s="45"/>
      <c r="M48" s="45"/>
    </row>
    <row r="49" spans="1:13" ht="19" customHeight="1" x14ac:dyDescent="0.35">
      <c r="A49" s="56" t="str">
        <f>IF($C49="","",COUNTA($C$6:$C49))</f>
        <v/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9" customHeight="1" x14ac:dyDescent="0.3">
      <c r="A50" s="56" t="str">
        <f>IF($C50="","",COUNTA($C$6:$C50))</f>
        <v/>
      </c>
      <c r="B50" s="57"/>
      <c r="C50" s="57"/>
      <c r="D50" s="57"/>
      <c r="E50" s="57"/>
      <c r="F50" s="57"/>
      <c r="G50" s="58"/>
      <c r="H50" s="58"/>
      <c r="I50" s="59"/>
      <c r="J50" s="60"/>
      <c r="K50" s="61"/>
      <c r="L50" s="57"/>
      <c r="M50" s="57"/>
    </row>
    <row r="51" spans="1:13" ht="19" customHeight="1" x14ac:dyDescent="0.3">
      <c r="A51" s="56" t="str">
        <f>IF($C51="","",COUNTA($C$6:$C51))</f>
        <v/>
      </c>
      <c r="B51" s="57"/>
      <c r="C51" s="57"/>
      <c r="D51" s="57"/>
      <c r="E51" s="57"/>
      <c r="F51" s="57"/>
      <c r="G51" s="58"/>
      <c r="H51" s="58"/>
      <c r="I51" s="59"/>
      <c r="J51" s="60"/>
      <c r="K51" s="61"/>
      <c r="L51" s="57"/>
      <c r="M51" s="57"/>
    </row>
    <row r="52" spans="1:13" ht="19" customHeight="1" x14ac:dyDescent="0.3">
      <c r="A52" s="56" t="str">
        <f>IF($C52="","",COUNTA($C$6:$C52))</f>
        <v/>
      </c>
      <c r="B52" s="57"/>
      <c r="C52" s="57"/>
      <c r="D52" s="57"/>
      <c r="E52" s="57"/>
      <c r="F52" s="57"/>
      <c r="G52" s="58"/>
      <c r="H52" s="58"/>
      <c r="I52" s="59"/>
      <c r="J52" s="60"/>
      <c r="K52" s="61"/>
      <c r="L52" s="57"/>
      <c r="M52" s="57"/>
    </row>
    <row r="53" spans="1:13" ht="19" customHeight="1" x14ac:dyDescent="0.3">
      <c r="A53" s="56" t="str">
        <f>IF($C53="","",COUNTA($C$6:$C53))</f>
        <v/>
      </c>
      <c r="B53" s="57"/>
      <c r="C53" s="57"/>
      <c r="D53" s="57"/>
      <c r="E53" s="57"/>
      <c r="F53" s="57"/>
      <c r="G53" s="58"/>
      <c r="H53" s="58"/>
      <c r="I53" s="59"/>
      <c r="J53" s="60"/>
      <c r="K53" s="61"/>
      <c r="L53" s="57"/>
      <c r="M53" s="57"/>
    </row>
    <row r="54" spans="1:13" ht="19" customHeight="1" x14ac:dyDescent="0.3">
      <c r="A54" s="56" t="str">
        <f>IF($C54="","",COUNTA($C$6:$C54))</f>
        <v/>
      </c>
      <c r="B54" s="57"/>
      <c r="C54" s="57"/>
      <c r="D54" s="57"/>
      <c r="E54" s="57"/>
      <c r="F54" s="57"/>
      <c r="G54" s="58"/>
      <c r="H54" s="58"/>
      <c r="I54" s="59"/>
      <c r="J54" s="60"/>
      <c r="K54" s="61"/>
      <c r="L54" s="57"/>
      <c r="M54" s="57"/>
    </row>
    <row r="55" spans="1:13" ht="19" customHeight="1" x14ac:dyDescent="0.3">
      <c r="A55" s="56" t="str">
        <f>IF($C55="","",COUNTA($C$6:$C55))</f>
        <v/>
      </c>
      <c r="B55" s="57"/>
      <c r="C55" s="57"/>
      <c r="D55" s="57"/>
      <c r="E55" s="57"/>
      <c r="F55" s="57"/>
      <c r="G55" s="58"/>
      <c r="H55" s="58"/>
      <c r="I55" s="59"/>
      <c r="J55" s="60"/>
      <c r="K55" s="61"/>
      <c r="L55" s="57"/>
      <c r="M55" s="57"/>
    </row>
    <row r="56" spans="1:13" ht="19" customHeight="1" x14ac:dyDescent="0.3">
      <c r="A56" s="56" t="str">
        <f>IF($C56="","",COUNTA($C$6:$C56))</f>
        <v/>
      </c>
      <c r="B56" s="57"/>
      <c r="C56" s="57"/>
      <c r="D56" s="57"/>
      <c r="E56" s="57"/>
      <c r="F56" s="57"/>
      <c r="G56" s="58"/>
      <c r="H56" s="58"/>
      <c r="I56" s="59"/>
      <c r="J56" s="60"/>
      <c r="K56" s="61"/>
      <c r="L56" s="57"/>
      <c r="M56" s="57"/>
    </row>
    <row r="57" spans="1:13" ht="19" customHeight="1" x14ac:dyDescent="0.3">
      <c r="A57" s="56" t="str">
        <f>IF($C57="","",COUNTA($C$6:$C57))</f>
        <v/>
      </c>
      <c r="B57" s="57"/>
      <c r="C57" s="57"/>
      <c r="D57" s="57"/>
      <c r="E57" s="57"/>
      <c r="F57" s="57"/>
      <c r="G57" s="58"/>
      <c r="H57" s="58"/>
      <c r="I57" s="59"/>
      <c r="J57" s="60"/>
      <c r="K57" s="61"/>
      <c r="L57" s="57"/>
      <c r="M57" s="57"/>
    </row>
    <row r="58" spans="1:13" ht="19" customHeight="1" x14ac:dyDescent="0.3">
      <c r="A58" s="56" t="str">
        <f>IF($C58="","",COUNTA($C$6:$C58))</f>
        <v/>
      </c>
      <c r="B58" s="57"/>
      <c r="C58" s="57"/>
      <c r="D58" s="57"/>
      <c r="E58" s="57"/>
      <c r="F58" s="57"/>
      <c r="G58" s="58"/>
      <c r="H58" s="58"/>
      <c r="I58" s="59"/>
      <c r="J58" s="60"/>
      <c r="K58" s="61"/>
      <c r="L58" s="57"/>
      <c r="M58" s="57"/>
    </row>
    <row r="59" spans="1:13" ht="19" customHeight="1" x14ac:dyDescent="0.3">
      <c r="A59" s="56" t="str">
        <f>IF($C59="","",COUNTA($C$6:$C59))</f>
        <v/>
      </c>
      <c r="B59" s="57"/>
      <c r="C59" s="57"/>
      <c r="D59" s="57"/>
      <c r="E59" s="57"/>
      <c r="F59" s="57"/>
      <c r="G59" s="58"/>
      <c r="H59" s="58"/>
      <c r="I59" s="59"/>
      <c r="J59" s="60"/>
      <c r="K59" s="61"/>
      <c r="L59" s="57"/>
      <c r="M59" s="57"/>
    </row>
    <row r="60" spans="1:13" ht="19" customHeight="1" x14ac:dyDescent="0.3">
      <c r="A60" s="56" t="str">
        <f>IF($C60="","",COUNTA($C$6:$C60))</f>
        <v/>
      </c>
      <c r="B60" s="57"/>
      <c r="C60" s="57"/>
      <c r="D60" s="57"/>
      <c r="E60" s="57"/>
      <c r="F60" s="57"/>
      <c r="G60" s="58"/>
      <c r="H60" s="58"/>
      <c r="I60" s="59"/>
      <c r="J60" s="60"/>
      <c r="K60" s="61"/>
      <c r="L60" s="57"/>
      <c r="M60" s="57"/>
    </row>
    <row r="61" spans="1:13" ht="19" customHeight="1" x14ac:dyDescent="0.3">
      <c r="A61" s="56" t="str">
        <f>IF($C61="","",COUNTA($C$6:$C61))</f>
        <v/>
      </c>
      <c r="B61" s="57"/>
      <c r="C61" s="57"/>
      <c r="D61" s="57"/>
      <c r="E61" s="57"/>
      <c r="F61" s="57"/>
      <c r="G61" s="58"/>
      <c r="H61" s="58"/>
      <c r="I61" s="59"/>
      <c r="J61" s="60"/>
      <c r="K61" s="61"/>
      <c r="L61" s="57"/>
      <c r="M61" s="57"/>
    </row>
    <row r="62" spans="1:13" ht="19" customHeight="1" x14ac:dyDescent="0.3">
      <c r="A62" s="56" t="str">
        <f>IF($C62="","",COUNTA($C$6:$C62))</f>
        <v/>
      </c>
      <c r="B62" s="57"/>
      <c r="C62" s="57"/>
      <c r="D62" s="57"/>
      <c r="E62" s="57"/>
      <c r="F62" s="57"/>
      <c r="G62" s="58"/>
      <c r="H62" s="58"/>
      <c r="I62" s="59"/>
      <c r="J62" s="60"/>
      <c r="K62" s="61"/>
      <c r="L62" s="57"/>
      <c r="M62" s="57"/>
    </row>
    <row r="63" spans="1:13" ht="19" customHeight="1" x14ac:dyDescent="0.3">
      <c r="A63" s="56" t="str">
        <f>IF($C63="","",COUNTA($C$6:$C63))</f>
        <v/>
      </c>
      <c r="B63" s="57"/>
      <c r="C63" s="57"/>
      <c r="D63" s="57"/>
      <c r="E63" s="57"/>
      <c r="F63" s="57"/>
      <c r="G63" s="58"/>
      <c r="H63" s="58"/>
      <c r="I63" s="59"/>
      <c r="J63" s="60"/>
      <c r="K63" s="61"/>
      <c r="L63" s="57"/>
      <c r="M63" s="57"/>
    </row>
    <row r="64" spans="1:13" ht="19" customHeight="1" x14ac:dyDescent="0.3">
      <c r="A64" s="56" t="str">
        <f>IF($C64="","",COUNTA($C$6:$C64))</f>
        <v/>
      </c>
      <c r="B64" s="57"/>
      <c r="C64" s="57"/>
      <c r="D64" s="57"/>
      <c r="E64" s="57"/>
      <c r="F64" s="57"/>
      <c r="G64" s="58"/>
      <c r="H64" s="58"/>
      <c r="I64" s="59"/>
      <c r="J64" s="60"/>
      <c r="K64" s="61"/>
      <c r="L64" s="57"/>
      <c r="M64" s="57"/>
    </row>
    <row r="65" spans="1:13" ht="19" customHeight="1" x14ac:dyDescent="0.3">
      <c r="A65" s="56" t="str">
        <f>IF($C65="","",COUNTA($C$6:$C65))</f>
        <v/>
      </c>
      <c r="B65" s="57"/>
      <c r="C65" s="57"/>
      <c r="D65" s="57"/>
      <c r="E65" s="57"/>
      <c r="F65" s="57"/>
      <c r="G65" s="58"/>
      <c r="H65" s="58"/>
      <c r="I65" s="59"/>
      <c r="J65" s="60"/>
      <c r="K65" s="61"/>
      <c r="L65" s="57"/>
      <c r="M65" s="57"/>
    </row>
    <row r="66" spans="1:13" ht="19" customHeight="1" x14ac:dyDescent="0.3">
      <c r="A66" s="56" t="str">
        <f>IF($C66="","",COUNTA($C$6:$C66))</f>
        <v/>
      </c>
      <c r="B66" s="57"/>
      <c r="C66" s="57"/>
      <c r="D66" s="57"/>
      <c r="E66" s="57"/>
      <c r="F66" s="57"/>
      <c r="G66" s="58"/>
      <c r="H66" s="58"/>
      <c r="I66" s="59"/>
      <c r="J66" s="60"/>
      <c r="K66" s="61"/>
      <c r="L66" s="57"/>
      <c r="M66" s="57"/>
    </row>
    <row r="67" spans="1:13" ht="19" customHeight="1" x14ac:dyDescent="0.3">
      <c r="A67" s="56" t="str">
        <f>IF($C67="","",COUNTA($C$6:$C67))</f>
        <v/>
      </c>
      <c r="B67" s="57"/>
      <c r="C67" s="57"/>
      <c r="D67" s="57"/>
      <c r="E67" s="57"/>
      <c r="F67" s="57"/>
      <c r="G67" s="58"/>
      <c r="H67" s="58"/>
      <c r="I67" s="59"/>
      <c r="J67" s="60"/>
      <c r="K67" s="61"/>
      <c r="L67" s="57"/>
      <c r="M67" s="57"/>
    </row>
    <row r="68" spans="1:13" ht="19" customHeight="1" x14ac:dyDescent="0.3">
      <c r="A68" s="56" t="str">
        <f>IF($C68="","",COUNTA($C$6:$C68))</f>
        <v/>
      </c>
      <c r="B68" s="57"/>
      <c r="C68" s="57"/>
      <c r="D68" s="57"/>
      <c r="E68" s="57"/>
      <c r="F68" s="57"/>
      <c r="G68" s="58"/>
      <c r="H68" s="58"/>
      <c r="I68" s="59"/>
      <c r="J68" s="60"/>
      <c r="K68" s="61"/>
      <c r="L68" s="57"/>
      <c r="M68" s="57"/>
    </row>
    <row r="69" spans="1:13" ht="19" customHeight="1" x14ac:dyDescent="0.3">
      <c r="A69" s="56" t="str">
        <f>IF($C69="","",COUNTA($C$6:$C69))</f>
        <v/>
      </c>
      <c r="B69" s="57"/>
      <c r="C69" s="57"/>
      <c r="D69" s="57"/>
      <c r="E69" s="57"/>
      <c r="F69" s="57"/>
      <c r="G69" s="58"/>
      <c r="H69" s="58"/>
      <c r="I69" s="59"/>
      <c r="J69" s="60"/>
      <c r="K69" s="61"/>
      <c r="L69" s="57"/>
      <c r="M69" s="57"/>
    </row>
    <row r="70" spans="1:13" ht="19" customHeight="1" x14ac:dyDescent="0.3">
      <c r="A70" s="56" t="str">
        <f>IF($C70="","",COUNTA($C$6:$C70))</f>
        <v/>
      </c>
      <c r="B70" s="57"/>
      <c r="C70" s="57"/>
      <c r="D70" s="57"/>
      <c r="E70" s="57"/>
      <c r="F70" s="57"/>
      <c r="G70" s="58"/>
      <c r="H70" s="58"/>
      <c r="I70" s="59"/>
      <c r="J70" s="60"/>
      <c r="K70" s="61"/>
      <c r="L70" s="57"/>
      <c r="M70" s="57"/>
    </row>
    <row r="71" spans="1:13" ht="19" customHeight="1" x14ac:dyDescent="0.3">
      <c r="A71" s="56" t="str">
        <f>IF($C71="","",COUNTA($C$6:$C71))</f>
        <v/>
      </c>
      <c r="B71" s="57"/>
      <c r="C71" s="57"/>
      <c r="D71" s="57"/>
      <c r="E71" s="57"/>
      <c r="F71" s="57"/>
      <c r="G71" s="58"/>
      <c r="H71" s="58"/>
      <c r="I71" s="59"/>
      <c r="J71" s="60"/>
      <c r="K71" s="61"/>
      <c r="L71" s="57"/>
      <c r="M71" s="57"/>
    </row>
    <row r="72" spans="1:13" ht="19" customHeight="1" x14ac:dyDescent="0.3">
      <c r="A72" s="56" t="str">
        <f>IF($C72="","",COUNTA($C$6:$C72))</f>
        <v/>
      </c>
      <c r="B72" s="57"/>
      <c r="C72" s="57"/>
      <c r="D72" s="57"/>
      <c r="E72" s="57"/>
      <c r="F72" s="57"/>
      <c r="G72" s="58"/>
      <c r="H72" s="58"/>
      <c r="I72" s="59"/>
      <c r="J72" s="60"/>
      <c r="K72" s="61"/>
      <c r="L72" s="57"/>
      <c r="M72" s="57"/>
    </row>
    <row r="73" spans="1:13" ht="19" customHeight="1" x14ac:dyDescent="0.3">
      <c r="A73" s="56" t="str">
        <f>IF($C73="","",COUNTA($C$6:$C73))</f>
        <v/>
      </c>
      <c r="B73" s="57"/>
      <c r="C73" s="57"/>
      <c r="D73" s="57"/>
      <c r="E73" s="57"/>
      <c r="F73" s="57"/>
      <c r="G73" s="58"/>
      <c r="H73" s="58"/>
      <c r="I73" s="59"/>
      <c r="J73" s="60"/>
      <c r="K73" s="61"/>
      <c r="L73" s="57"/>
      <c r="M73" s="57"/>
    </row>
    <row r="74" spans="1:13" ht="19" customHeight="1" x14ac:dyDescent="0.3">
      <c r="A74" s="56" t="str">
        <f>IF($C74="","",COUNTA($C$6:$C74))</f>
        <v/>
      </c>
      <c r="B74" s="57"/>
      <c r="C74" s="57"/>
      <c r="D74" s="57"/>
      <c r="E74" s="57"/>
      <c r="F74" s="57"/>
      <c r="G74" s="58"/>
      <c r="H74" s="58"/>
      <c r="I74" s="59"/>
      <c r="J74" s="60"/>
      <c r="K74" s="61"/>
      <c r="L74" s="57"/>
      <c r="M74" s="57"/>
    </row>
    <row r="75" spans="1:13" ht="19" customHeight="1" x14ac:dyDescent="0.3">
      <c r="A75" s="56" t="str">
        <f>IF($C75="","",COUNTA($C$6:$C75))</f>
        <v/>
      </c>
      <c r="B75" s="57"/>
      <c r="C75" s="57"/>
      <c r="D75" s="57"/>
      <c r="E75" s="57"/>
      <c r="F75" s="57"/>
      <c r="G75" s="58"/>
      <c r="H75" s="58"/>
      <c r="I75" s="59"/>
      <c r="J75" s="60"/>
      <c r="K75" s="61"/>
      <c r="L75" s="57"/>
      <c r="M75" s="57"/>
    </row>
    <row r="76" spans="1:13" ht="19" customHeight="1" x14ac:dyDescent="0.3">
      <c r="A76" s="56" t="str">
        <f>IF($C76="","",COUNTA($C$6:$C76))</f>
        <v/>
      </c>
      <c r="B76" s="57"/>
      <c r="C76" s="57"/>
      <c r="D76" s="57"/>
      <c r="E76" s="57"/>
      <c r="F76" s="57"/>
      <c r="G76" s="58"/>
      <c r="H76" s="58"/>
      <c r="I76" s="59"/>
      <c r="J76" s="60"/>
      <c r="K76" s="61"/>
      <c r="L76" s="57"/>
      <c r="M76" s="57"/>
    </row>
    <row r="77" spans="1:13" ht="19" customHeight="1" x14ac:dyDescent="0.3">
      <c r="A77" s="56" t="str">
        <f>IF($C77="","",COUNTA($C$6:$C77))</f>
        <v/>
      </c>
      <c r="B77" s="57"/>
      <c r="C77" s="57"/>
      <c r="D77" s="57"/>
      <c r="E77" s="57"/>
      <c r="F77" s="57"/>
      <c r="G77" s="58"/>
      <c r="H77" s="58"/>
      <c r="I77" s="59"/>
      <c r="J77" s="60"/>
      <c r="K77" s="61"/>
      <c r="L77" s="57"/>
      <c r="M77" s="57"/>
    </row>
    <row r="78" spans="1:13" ht="19" customHeight="1" x14ac:dyDescent="0.3">
      <c r="A78" s="56" t="str">
        <f>IF($C78="","",COUNTA($C$6:$C78))</f>
        <v/>
      </c>
      <c r="B78" s="57"/>
      <c r="C78" s="57"/>
      <c r="D78" s="57"/>
      <c r="E78" s="57"/>
      <c r="F78" s="57"/>
      <c r="G78" s="58"/>
      <c r="H78" s="58"/>
      <c r="I78" s="59"/>
      <c r="J78" s="60"/>
      <c r="K78" s="61"/>
      <c r="L78" s="57"/>
      <c r="M78" s="57"/>
    </row>
    <row r="79" spans="1:13" ht="19" customHeight="1" x14ac:dyDescent="0.3">
      <c r="A79" s="56" t="str">
        <f>IF($C79="","",COUNTA($C$6:$C79))</f>
        <v/>
      </c>
      <c r="B79" s="57"/>
      <c r="C79" s="57"/>
      <c r="D79" s="57"/>
      <c r="E79" s="57"/>
      <c r="F79" s="57"/>
      <c r="G79" s="58"/>
      <c r="H79" s="58"/>
      <c r="I79" s="59"/>
      <c r="J79" s="60"/>
      <c r="K79" s="61"/>
      <c r="L79" s="57"/>
      <c r="M79" s="57"/>
    </row>
    <row r="80" spans="1:13" ht="19" customHeight="1" x14ac:dyDescent="0.3">
      <c r="A80" s="56" t="str">
        <f>IF($C80="","",COUNTA($C$6:$C80))</f>
        <v/>
      </c>
      <c r="B80" s="57"/>
      <c r="C80" s="57"/>
      <c r="D80" s="57"/>
      <c r="E80" s="57"/>
      <c r="F80" s="57"/>
      <c r="G80" s="58"/>
      <c r="H80" s="58"/>
      <c r="I80" s="59"/>
      <c r="J80" s="60"/>
      <c r="K80" s="61"/>
      <c r="L80" s="57"/>
      <c r="M80" s="57"/>
    </row>
    <row r="81" spans="1:13" ht="19" customHeight="1" x14ac:dyDescent="0.3">
      <c r="A81" s="56" t="str">
        <f>IF($C81="","",COUNTA($C$6:$C81))</f>
        <v/>
      </c>
      <c r="B81" s="57"/>
      <c r="C81" s="57"/>
      <c r="D81" s="57"/>
      <c r="E81" s="57"/>
      <c r="F81" s="57"/>
      <c r="G81" s="58"/>
      <c r="H81" s="58"/>
      <c r="I81" s="59"/>
      <c r="J81" s="60"/>
      <c r="K81" s="61"/>
      <c r="L81" s="57"/>
      <c r="M81" s="57"/>
    </row>
    <row r="82" spans="1:13" ht="19" customHeight="1" x14ac:dyDescent="0.3">
      <c r="A82" s="56" t="str">
        <f>IF($C82="","",COUNTA($C$6:$C82))</f>
        <v/>
      </c>
      <c r="B82" s="57"/>
      <c r="C82" s="57"/>
      <c r="D82" s="57"/>
      <c r="E82" s="57"/>
      <c r="F82" s="57"/>
      <c r="G82" s="58"/>
      <c r="H82" s="58"/>
      <c r="I82" s="59"/>
      <c r="J82" s="60"/>
      <c r="K82" s="61"/>
      <c r="L82" s="57"/>
      <c r="M82" s="57"/>
    </row>
    <row r="83" spans="1:13" ht="19" customHeight="1" x14ac:dyDescent="0.3">
      <c r="A83" s="56" t="str">
        <f>IF($C83="","",COUNTA($C$6:$C83))</f>
        <v/>
      </c>
      <c r="B83" s="57"/>
      <c r="C83" s="57"/>
      <c r="D83" s="57"/>
      <c r="E83" s="57"/>
      <c r="F83" s="57"/>
      <c r="G83" s="58"/>
      <c r="H83" s="58"/>
      <c r="I83" s="59"/>
      <c r="J83" s="60"/>
      <c r="K83" s="61"/>
      <c r="L83" s="57"/>
      <c r="M83" s="57"/>
    </row>
    <row r="84" spans="1:13" ht="19" customHeight="1" x14ac:dyDescent="0.3">
      <c r="A84" s="56" t="str">
        <f>IF($C84="","",COUNTA($C$6:$C84))</f>
        <v/>
      </c>
      <c r="B84" s="57"/>
      <c r="C84" s="57"/>
      <c r="D84" s="57"/>
      <c r="E84" s="57"/>
      <c r="F84" s="57"/>
      <c r="G84" s="58"/>
      <c r="H84" s="58"/>
      <c r="I84" s="59"/>
      <c r="J84" s="60"/>
      <c r="K84" s="61"/>
      <c r="L84" s="57"/>
      <c r="M84" s="57"/>
    </row>
    <row r="85" spans="1:13" ht="19" customHeight="1" x14ac:dyDescent="0.3">
      <c r="A85" s="56" t="str">
        <f>IF($C85="","",COUNTA($C$6:$C85))</f>
        <v/>
      </c>
      <c r="B85" s="57"/>
      <c r="C85" s="57"/>
      <c r="D85" s="57"/>
      <c r="E85" s="57"/>
      <c r="F85" s="57"/>
      <c r="G85" s="58"/>
      <c r="H85" s="58"/>
      <c r="I85" s="59"/>
      <c r="J85" s="60"/>
      <c r="K85" s="61"/>
      <c r="L85" s="57"/>
      <c r="M85" s="57"/>
    </row>
    <row r="86" spans="1:13" ht="19" customHeight="1" x14ac:dyDescent="0.3">
      <c r="A86" s="56" t="str">
        <f>IF($C86="","",COUNTA($C$6:$C86))</f>
        <v/>
      </c>
      <c r="B86" s="57"/>
      <c r="C86" s="57"/>
      <c r="D86" s="57"/>
      <c r="E86" s="57"/>
      <c r="F86" s="57"/>
      <c r="G86" s="58"/>
      <c r="H86" s="58"/>
      <c r="I86" s="59"/>
      <c r="J86" s="60"/>
      <c r="K86" s="61"/>
      <c r="L86" s="57"/>
      <c r="M86" s="57"/>
    </row>
    <row r="87" spans="1:13" ht="19" customHeight="1" x14ac:dyDescent="0.3">
      <c r="A87" s="56" t="str">
        <f>IF($C87="","",COUNTA($C$6:$C87))</f>
        <v/>
      </c>
      <c r="B87" s="57"/>
      <c r="C87" s="57"/>
      <c r="D87" s="57"/>
      <c r="E87" s="57"/>
      <c r="F87" s="57"/>
      <c r="G87" s="58"/>
      <c r="H87" s="58"/>
      <c r="I87" s="59"/>
      <c r="J87" s="60"/>
      <c r="K87" s="61"/>
      <c r="L87" s="57"/>
      <c r="M87" s="57"/>
    </row>
    <row r="88" spans="1:13" ht="19" customHeight="1" x14ac:dyDescent="0.3">
      <c r="A88" s="56" t="str">
        <f>IF($C88="","",COUNTA($C$6:$C88))</f>
        <v/>
      </c>
      <c r="B88" s="57"/>
      <c r="C88" s="57"/>
      <c r="D88" s="57"/>
      <c r="E88" s="57"/>
      <c r="F88" s="57"/>
      <c r="G88" s="58"/>
      <c r="H88" s="58"/>
      <c r="I88" s="59"/>
      <c r="J88" s="60"/>
      <c r="K88" s="61"/>
      <c r="L88" s="57"/>
      <c r="M88" s="57"/>
    </row>
    <row r="89" spans="1:13" ht="19" customHeight="1" x14ac:dyDescent="0.3">
      <c r="A89" s="56" t="str">
        <f>IF($C89="","",COUNTA($C$6:$C89))</f>
        <v/>
      </c>
      <c r="B89" s="57"/>
      <c r="C89" s="57"/>
      <c r="D89" s="57"/>
      <c r="E89" s="57"/>
      <c r="F89" s="57"/>
      <c r="G89" s="58"/>
      <c r="H89" s="58"/>
      <c r="I89" s="59"/>
      <c r="J89" s="60"/>
      <c r="K89" s="61"/>
      <c r="L89" s="57"/>
      <c r="M89" s="57"/>
    </row>
    <row r="90" spans="1:13" ht="19" customHeight="1" x14ac:dyDescent="0.3">
      <c r="A90" s="56" t="str">
        <f>IF($C90="","",COUNTA($C$6:$C90))</f>
        <v/>
      </c>
      <c r="B90" s="57"/>
      <c r="C90" s="57"/>
      <c r="D90" s="57"/>
      <c r="E90" s="57"/>
      <c r="F90" s="57"/>
      <c r="G90" s="58"/>
      <c r="H90" s="58"/>
      <c r="I90" s="59"/>
      <c r="J90" s="60"/>
      <c r="K90" s="61"/>
      <c r="L90" s="57"/>
      <c r="M90" s="57"/>
    </row>
    <row r="91" spans="1:13" ht="19" customHeight="1" x14ac:dyDescent="0.3">
      <c r="A91" s="56" t="str">
        <f>IF($C91="","",COUNTA($C$6:$C91))</f>
        <v/>
      </c>
      <c r="B91" s="57"/>
      <c r="C91" s="57"/>
      <c r="D91" s="57"/>
      <c r="E91" s="57"/>
      <c r="F91" s="57"/>
      <c r="G91" s="58"/>
      <c r="H91" s="58"/>
      <c r="I91" s="59"/>
      <c r="J91" s="60"/>
      <c r="K91" s="61"/>
      <c r="L91" s="57"/>
      <c r="M91" s="57"/>
    </row>
    <row r="92" spans="1:13" ht="19" customHeight="1" x14ac:dyDescent="0.3">
      <c r="A92" s="56" t="str">
        <f>IF($C92="","",COUNTA($C$6:$C92))</f>
        <v/>
      </c>
      <c r="B92" s="57"/>
      <c r="C92" s="57"/>
      <c r="D92" s="57"/>
      <c r="E92" s="57"/>
      <c r="F92" s="57"/>
      <c r="G92" s="58"/>
      <c r="H92" s="58"/>
      <c r="I92" s="59"/>
      <c r="J92" s="60"/>
      <c r="K92" s="61"/>
      <c r="L92" s="57"/>
      <c r="M92" s="57"/>
    </row>
    <row r="93" spans="1:13" ht="19" customHeight="1" x14ac:dyDescent="0.3">
      <c r="A93" s="56" t="str">
        <f>IF($C93="","",COUNTA($C$6:$C93))</f>
        <v/>
      </c>
      <c r="B93" s="57"/>
      <c r="C93" s="57"/>
      <c r="D93" s="57"/>
      <c r="E93" s="57"/>
      <c r="F93" s="57"/>
      <c r="G93" s="58"/>
      <c r="H93" s="58"/>
      <c r="I93" s="59"/>
      <c r="J93" s="60"/>
      <c r="K93" s="61"/>
      <c r="L93" s="57"/>
      <c r="M93" s="57"/>
    </row>
    <row r="94" spans="1:13" ht="19" customHeight="1" x14ac:dyDescent="0.3">
      <c r="A94" s="56" t="str">
        <f>IF($C94="","",COUNTA($C$6:$C94))</f>
        <v/>
      </c>
      <c r="B94" s="57"/>
      <c r="C94" s="57"/>
      <c r="D94" s="57"/>
      <c r="E94" s="57"/>
      <c r="F94" s="57"/>
      <c r="G94" s="58"/>
      <c r="H94" s="58"/>
      <c r="I94" s="59"/>
      <c r="J94" s="60"/>
      <c r="K94" s="61"/>
      <c r="L94" s="57"/>
      <c r="M94" s="57"/>
    </row>
    <row r="95" spans="1:13" ht="19" customHeight="1" x14ac:dyDescent="0.3">
      <c r="A95" s="56" t="str">
        <f>IF($C95="","",COUNTA($C$6:$C95))</f>
        <v/>
      </c>
      <c r="B95" s="57"/>
      <c r="C95" s="57"/>
      <c r="D95" s="57"/>
      <c r="E95" s="57"/>
      <c r="F95" s="57"/>
      <c r="G95" s="58"/>
      <c r="H95" s="58"/>
      <c r="I95" s="59"/>
      <c r="J95" s="60"/>
      <c r="K95" s="61"/>
      <c r="L95" s="57"/>
      <c r="M95" s="57"/>
    </row>
    <row r="96" spans="1:13" ht="19" customHeight="1" x14ac:dyDescent="0.3">
      <c r="A96" s="56" t="str">
        <f>IF($C96="","",COUNTA($C$6:$C96))</f>
        <v/>
      </c>
      <c r="B96" s="57"/>
      <c r="C96" s="57"/>
      <c r="D96" s="57"/>
      <c r="E96" s="57"/>
      <c r="F96" s="57"/>
      <c r="G96" s="58"/>
      <c r="H96" s="58"/>
      <c r="I96" s="59"/>
      <c r="J96" s="60"/>
      <c r="K96" s="61"/>
      <c r="L96" s="57"/>
      <c r="M96" s="57"/>
    </row>
    <row r="97" spans="1:13" ht="19" customHeight="1" x14ac:dyDescent="0.3">
      <c r="A97" s="56" t="str">
        <f>IF($C97="","",COUNTA($C$6:$C97))</f>
        <v/>
      </c>
      <c r="B97" s="57"/>
      <c r="C97" s="57"/>
      <c r="D97" s="57"/>
      <c r="E97" s="57"/>
      <c r="F97" s="57"/>
      <c r="G97" s="58"/>
      <c r="H97" s="58"/>
      <c r="I97" s="59"/>
      <c r="J97" s="60"/>
      <c r="K97" s="61"/>
      <c r="L97" s="57"/>
      <c r="M97" s="57"/>
    </row>
    <row r="98" spans="1:13" ht="19" customHeight="1" x14ac:dyDescent="0.3">
      <c r="A98" s="56" t="str">
        <f>IF($C98="","",COUNTA($C$6:$C98))</f>
        <v/>
      </c>
      <c r="B98" s="57"/>
      <c r="C98" s="57"/>
      <c r="D98" s="57"/>
      <c r="E98" s="57"/>
      <c r="F98" s="57"/>
      <c r="G98" s="58"/>
      <c r="H98" s="58"/>
      <c r="I98" s="59"/>
      <c r="J98" s="60"/>
      <c r="K98" s="61"/>
      <c r="L98" s="57"/>
      <c r="M98" s="57"/>
    </row>
    <row r="99" spans="1:13" ht="19" customHeight="1" x14ac:dyDescent="0.3">
      <c r="A99" s="56" t="str">
        <f>IF($C99="","",COUNTA($C$6:$C99))</f>
        <v/>
      </c>
      <c r="B99" s="57"/>
      <c r="C99" s="57"/>
      <c r="D99" s="57"/>
      <c r="E99" s="57"/>
      <c r="F99" s="57"/>
      <c r="G99" s="58"/>
      <c r="H99" s="58"/>
      <c r="I99" s="59"/>
      <c r="J99" s="60"/>
      <c r="K99" s="61"/>
      <c r="L99" s="57"/>
      <c r="M99" s="57"/>
    </row>
    <row r="100" spans="1:13" ht="19" customHeight="1" x14ac:dyDescent="0.3">
      <c r="A100" s="56" t="str">
        <f>IF($C100="","",COUNTA($C$6:$C100))</f>
        <v/>
      </c>
      <c r="B100" s="57"/>
      <c r="C100" s="57"/>
      <c r="D100" s="57"/>
      <c r="E100" s="57"/>
      <c r="F100" s="57"/>
      <c r="G100" s="58"/>
      <c r="H100" s="58"/>
      <c r="I100" s="59"/>
      <c r="J100" s="60"/>
      <c r="K100" s="61"/>
      <c r="L100" s="57"/>
      <c r="M100" s="57"/>
    </row>
    <row r="101" spans="1:13" ht="19" customHeight="1" x14ac:dyDescent="0.3">
      <c r="A101" s="56" t="str">
        <f>IF($C101="","",COUNTA($C$6:$C101))</f>
        <v/>
      </c>
      <c r="B101" s="57"/>
      <c r="C101" s="57"/>
      <c r="D101" s="57"/>
      <c r="E101" s="57"/>
      <c r="F101" s="57"/>
      <c r="G101" s="58"/>
      <c r="H101" s="58"/>
      <c r="I101" s="59"/>
      <c r="J101" s="60"/>
      <c r="K101" s="61"/>
      <c r="L101" s="57"/>
      <c r="M101" s="57"/>
    </row>
    <row r="102" spans="1:13" ht="19" customHeight="1" x14ac:dyDescent="0.3">
      <c r="A102" s="56" t="str">
        <f>IF($C102="","",COUNTA($C$6:$C102))</f>
        <v/>
      </c>
      <c r="B102" s="57"/>
      <c r="C102" s="57"/>
      <c r="D102" s="57"/>
      <c r="E102" s="57"/>
      <c r="F102" s="57"/>
      <c r="G102" s="58"/>
      <c r="H102" s="58"/>
      <c r="I102" s="59"/>
      <c r="J102" s="60"/>
      <c r="K102" s="61"/>
      <c r="L102" s="57"/>
      <c r="M102" s="57"/>
    </row>
    <row r="103" spans="1:13" ht="19" customHeight="1" x14ac:dyDescent="0.3">
      <c r="A103" s="56" t="str">
        <f>IF($C103="","",COUNTA($C$6:$C103))</f>
        <v/>
      </c>
      <c r="B103" s="57"/>
      <c r="C103" s="57"/>
      <c r="D103" s="57"/>
      <c r="E103" s="57"/>
      <c r="F103" s="57"/>
      <c r="G103" s="58"/>
      <c r="H103" s="58"/>
      <c r="I103" s="59"/>
      <c r="J103" s="60"/>
      <c r="K103" s="61"/>
      <c r="L103" s="57"/>
      <c r="M103" s="57"/>
    </row>
    <row r="104" spans="1:13" ht="19" customHeight="1" x14ac:dyDescent="0.3">
      <c r="A104" s="56" t="str">
        <f>IF($C104="","",COUNTA($C$6:$C104))</f>
        <v/>
      </c>
      <c r="B104" s="57"/>
      <c r="C104" s="57"/>
      <c r="D104" s="57"/>
      <c r="E104" s="57"/>
      <c r="F104" s="57"/>
      <c r="G104" s="58"/>
      <c r="H104" s="58"/>
      <c r="I104" s="59"/>
      <c r="J104" s="60"/>
      <c r="K104" s="61"/>
      <c r="L104" s="57"/>
      <c r="M104" s="57"/>
    </row>
    <row r="105" spans="1:13" ht="19" customHeight="1" x14ac:dyDescent="0.3">
      <c r="A105" s="56" t="str">
        <f>IF($C105="","",COUNTA($C$6:$C105))</f>
        <v/>
      </c>
      <c r="B105" s="57"/>
      <c r="C105" s="57"/>
      <c r="D105" s="57"/>
      <c r="E105" s="57"/>
      <c r="F105" s="57"/>
      <c r="G105" s="58"/>
      <c r="H105" s="58"/>
      <c r="I105" s="59"/>
      <c r="J105" s="60"/>
      <c r="K105" s="61"/>
      <c r="L105" s="57"/>
      <c r="M105" s="57"/>
    </row>
    <row r="106" spans="1:13" ht="19" customHeight="1" x14ac:dyDescent="0.3">
      <c r="A106" s="56" t="str">
        <f>IF($C106="","",COUNTA($C$6:$C106))</f>
        <v/>
      </c>
      <c r="B106" s="57"/>
      <c r="C106" s="57"/>
      <c r="D106" s="57"/>
      <c r="E106" s="57"/>
      <c r="F106" s="57"/>
      <c r="G106" s="58"/>
      <c r="H106" s="58"/>
      <c r="I106" s="59"/>
      <c r="J106" s="60"/>
      <c r="K106" s="61"/>
      <c r="L106" s="57"/>
      <c r="M106" s="57"/>
    </row>
    <row r="107" spans="1:13" ht="19" customHeight="1" x14ac:dyDescent="0.3">
      <c r="A107" s="56" t="str">
        <f>IF($C107="","",COUNTA($C$6:$C107))</f>
        <v/>
      </c>
      <c r="B107" s="57"/>
      <c r="C107" s="57"/>
      <c r="D107" s="57"/>
      <c r="E107" s="57"/>
      <c r="F107" s="57"/>
      <c r="G107" s="58"/>
      <c r="H107" s="58"/>
      <c r="I107" s="59"/>
      <c r="J107" s="60"/>
      <c r="K107" s="61"/>
      <c r="L107" s="57"/>
      <c r="M107" s="57"/>
    </row>
    <row r="108" spans="1:13" ht="19" customHeight="1" x14ac:dyDescent="0.3">
      <c r="A108" s="56" t="str">
        <f>IF($C108="","",COUNTA($C$6:$C108))</f>
        <v/>
      </c>
      <c r="B108" s="57"/>
      <c r="C108" s="57"/>
      <c r="D108" s="57"/>
      <c r="E108" s="57"/>
      <c r="F108" s="57"/>
      <c r="G108" s="58"/>
      <c r="H108" s="58"/>
      <c r="I108" s="59"/>
      <c r="J108" s="60"/>
      <c r="K108" s="61"/>
      <c r="L108" s="57"/>
      <c r="M108" s="57"/>
    </row>
    <row r="109" spans="1:13" ht="19" customHeight="1" x14ac:dyDescent="0.3">
      <c r="A109" s="56" t="str">
        <f>IF($C109="","",COUNTA($C$6:$C109))</f>
        <v/>
      </c>
      <c r="B109" s="57"/>
      <c r="C109" s="57"/>
      <c r="D109" s="57"/>
      <c r="E109" s="57"/>
      <c r="F109" s="57"/>
      <c r="G109" s="58"/>
      <c r="H109" s="58"/>
      <c r="I109" s="59"/>
      <c r="J109" s="60"/>
      <c r="K109" s="61"/>
      <c r="L109" s="57"/>
      <c r="M109" s="57"/>
    </row>
    <row r="110" spans="1:13" ht="19" customHeight="1" x14ac:dyDescent="0.3">
      <c r="A110" s="56" t="str">
        <f>IF($C110="","",COUNTA($C$6:$C110))</f>
        <v/>
      </c>
      <c r="B110" s="57"/>
      <c r="C110" s="57"/>
      <c r="D110" s="57"/>
      <c r="E110" s="57"/>
      <c r="F110" s="57"/>
      <c r="G110" s="58"/>
      <c r="H110" s="58"/>
      <c r="I110" s="59"/>
      <c r="J110" s="60"/>
      <c r="K110" s="61"/>
      <c r="L110" s="57"/>
      <c r="M110" s="57"/>
    </row>
    <row r="111" spans="1:13" ht="19" customHeight="1" x14ac:dyDescent="0.3">
      <c r="A111" s="56" t="str">
        <f>IF($C111="","",COUNTA($C$6:$C111))</f>
        <v/>
      </c>
      <c r="B111" s="57"/>
      <c r="C111" s="57"/>
      <c r="D111" s="57"/>
      <c r="E111" s="57"/>
      <c r="F111" s="57"/>
      <c r="G111" s="58"/>
      <c r="H111" s="58"/>
      <c r="I111" s="59"/>
      <c r="J111" s="60"/>
      <c r="K111" s="61"/>
      <c r="L111" s="57"/>
      <c r="M111" s="57"/>
    </row>
    <row r="112" spans="1:13" ht="19" customHeight="1" x14ac:dyDescent="0.3">
      <c r="A112" s="56" t="str">
        <f>IF($C112="","",COUNTA($C$6:$C112))</f>
        <v/>
      </c>
      <c r="B112" s="57"/>
      <c r="C112" s="57"/>
      <c r="D112" s="57"/>
      <c r="E112" s="57"/>
      <c r="F112" s="57"/>
      <c r="G112" s="58"/>
      <c r="H112" s="58"/>
      <c r="I112" s="59"/>
      <c r="J112" s="60"/>
      <c r="K112" s="61"/>
      <c r="L112" s="57"/>
      <c r="M112" s="57"/>
    </row>
    <row r="113" spans="1:13" ht="19" customHeight="1" x14ac:dyDescent="0.3">
      <c r="A113" s="56" t="str">
        <f>IF($C113="","",COUNTA($C$6:$C113))</f>
        <v/>
      </c>
      <c r="B113" s="57"/>
      <c r="C113" s="57"/>
      <c r="D113" s="57"/>
      <c r="E113" s="57"/>
      <c r="F113" s="57"/>
      <c r="G113" s="58"/>
      <c r="H113" s="58"/>
      <c r="I113" s="59"/>
      <c r="J113" s="60"/>
      <c r="K113" s="61"/>
      <c r="L113" s="57"/>
      <c r="M113" s="57"/>
    </row>
    <row r="114" spans="1:13" ht="19" customHeight="1" x14ac:dyDescent="0.3">
      <c r="A114" s="56" t="str">
        <f>IF($C114="","",COUNTA($C$6:$C114))</f>
        <v/>
      </c>
      <c r="B114" s="57"/>
      <c r="C114" s="57"/>
      <c r="D114" s="57"/>
      <c r="E114" s="57"/>
      <c r="F114" s="57"/>
      <c r="G114" s="58"/>
      <c r="H114" s="58"/>
      <c r="I114" s="59"/>
      <c r="J114" s="60"/>
      <c r="K114" s="61"/>
      <c r="L114" s="57"/>
      <c r="M114" s="57"/>
    </row>
    <row r="115" spans="1:13" ht="19" customHeight="1" x14ac:dyDescent="0.3">
      <c r="A115" s="56" t="str">
        <f>IF($C115="","",COUNTA($C$6:$C115))</f>
        <v/>
      </c>
      <c r="B115" s="57"/>
      <c r="C115" s="57"/>
      <c r="D115" s="57"/>
      <c r="E115" s="57"/>
      <c r="F115" s="57"/>
      <c r="G115" s="58"/>
      <c r="H115" s="58"/>
      <c r="I115" s="59"/>
      <c r="J115" s="60"/>
      <c r="K115" s="61"/>
      <c r="L115" s="57"/>
      <c r="M115" s="57"/>
    </row>
    <row r="116" spans="1:13" ht="19" customHeight="1" x14ac:dyDescent="0.3">
      <c r="A116" s="56" t="str">
        <f>IF($C116="","",COUNTA($C$6:$C116))</f>
        <v/>
      </c>
      <c r="B116" s="57"/>
      <c r="C116" s="57"/>
      <c r="D116" s="57"/>
      <c r="E116" s="57"/>
      <c r="F116" s="57"/>
      <c r="G116" s="58"/>
      <c r="H116" s="58"/>
      <c r="I116" s="59"/>
      <c r="J116" s="60"/>
      <c r="K116" s="61"/>
      <c r="L116" s="57"/>
      <c r="M116" s="57"/>
    </row>
    <row r="117" spans="1:13" ht="19" customHeight="1" x14ac:dyDescent="0.3">
      <c r="A117" s="56" t="str">
        <f>IF($C117="","",COUNTA($C$6:$C117))</f>
        <v/>
      </c>
      <c r="B117" s="57"/>
      <c r="C117" s="57"/>
      <c r="D117" s="57"/>
      <c r="E117" s="57"/>
      <c r="F117" s="57"/>
      <c r="G117" s="58"/>
      <c r="H117" s="58"/>
      <c r="I117" s="59"/>
      <c r="J117" s="60"/>
      <c r="K117" s="61"/>
      <c r="L117" s="57"/>
      <c r="M117" s="57"/>
    </row>
    <row r="118" spans="1:13" ht="19" customHeight="1" x14ac:dyDescent="0.3">
      <c r="A118" s="56" t="str">
        <f>IF($C118="","",COUNTA($C$6:$C118))</f>
        <v/>
      </c>
      <c r="B118" s="57"/>
      <c r="C118" s="57"/>
      <c r="D118" s="57"/>
      <c r="E118" s="57"/>
      <c r="F118" s="57"/>
      <c r="G118" s="58"/>
      <c r="H118" s="58"/>
      <c r="I118" s="59"/>
      <c r="J118" s="60"/>
      <c r="K118" s="61"/>
      <c r="L118" s="57"/>
      <c r="M118" s="57"/>
    </row>
    <row r="119" spans="1:13" ht="19" customHeight="1" x14ac:dyDescent="0.3">
      <c r="A119" s="56" t="str">
        <f>IF($C119="","",COUNTA($C$6:$C119))</f>
        <v/>
      </c>
      <c r="B119" s="57"/>
      <c r="C119" s="57"/>
      <c r="D119" s="57"/>
      <c r="E119" s="57"/>
      <c r="F119" s="57"/>
      <c r="G119" s="58"/>
      <c r="H119" s="58"/>
      <c r="I119" s="59"/>
      <c r="J119" s="60"/>
      <c r="K119" s="61"/>
      <c r="L119" s="57"/>
      <c r="M119" s="57"/>
    </row>
    <row r="120" spans="1:13" ht="19" customHeight="1" x14ac:dyDescent="0.3">
      <c r="A120" s="56" t="str">
        <f>IF($C120="","",COUNTA($C$6:$C120))</f>
        <v/>
      </c>
      <c r="B120" s="57"/>
      <c r="C120" s="57"/>
      <c r="D120" s="57"/>
      <c r="E120" s="57"/>
      <c r="F120" s="57"/>
      <c r="G120" s="58"/>
      <c r="H120" s="58"/>
      <c r="I120" s="59"/>
      <c r="J120" s="60"/>
      <c r="K120" s="61"/>
      <c r="L120" s="57"/>
      <c r="M120" s="57"/>
    </row>
    <row r="121" spans="1:13" ht="19" customHeight="1" x14ac:dyDescent="0.3">
      <c r="A121" s="56" t="str">
        <f>IF($C121="","",COUNTA($C$6:$C121))</f>
        <v/>
      </c>
      <c r="B121" s="57"/>
      <c r="C121" s="57"/>
      <c r="D121" s="57"/>
      <c r="E121" s="57"/>
      <c r="F121" s="57"/>
      <c r="G121" s="58"/>
      <c r="H121" s="58"/>
      <c r="I121" s="59"/>
      <c r="J121" s="60"/>
      <c r="K121" s="61"/>
      <c r="L121" s="57"/>
      <c r="M121" s="57"/>
    </row>
    <row r="122" spans="1:13" ht="19" customHeight="1" x14ac:dyDescent="0.3">
      <c r="A122" s="56" t="str">
        <f>IF($C122="","",COUNTA($C$6:$C122))</f>
        <v/>
      </c>
      <c r="B122" s="57"/>
      <c r="C122" s="57"/>
      <c r="D122" s="57"/>
      <c r="E122" s="57"/>
      <c r="F122" s="57"/>
      <c r="G122" s="58"/>
      <c r="H122" s="58"/>
      <c r="I122" s="59"/>
      <c r="J122" s="60"/>
      <c r="K122" s="61"/>
      <c r="L122" s="57"/>
      <c r="M122" s="57"/>
    </row>
    <row r="123" spans="1:13" ht="19" customHeight="1" x14ac:dyDescent="0.3">
      <c r="A123" s="56" t="str">
        <f>IF($C123="","",COUNTA($C$6:$C123))</f>
        <v/>
      </c>
      <c r="B123" s="57"/>
      <c r="C123" s="57"/>
      <c r="D123" s="57"/>
      <c r="E123" s="57"/>
      <c r="F123" s="57"/>
      <c r="G123" s="58"/>
      <c r="H123" s="58"/>
      <c r="I123" s="59"/>
      <c r="J123" s="60"/>
      <c r="K123" s="61"/>
      <c r="L123" s="57"/>
      <c r="M123" s="57"/>
    </row>
    <row r="124" spans="1:13" ht="19" customHeight="1" x14ac:dyDescent="0.3">
      <c r="A124" s="56" t="str">
        <f>IF($C124="","",COUNTA($C$6:$C124))</f>
        <v/>
      </c>
      <c r="B124" s="57"/>
      <c r="C124" s="57"/>
      <c r="D124" s="57"/>
      <c r="E124" s="57"/>
      <c r="F124" s="57"/>
      <c r="G124" s="58"/>
      <c r="H124" s="58"/>
      <c r="I124" s="59"/>
      <c r="J124" s="60"/>
      <c r="K124" s="61"/>
      <c r="L124" s="57"/>
      <c r="M124" s="57"/>
    </row>
    <row r="125" spans="1:13" ht="19" customHeight="1" x14ac:dyDescent="0.3">
      <c r="A125" s="56" t="str">
        <f>IF($C125="","",COUNTA($C$6:$C125))</f>
        <v/>
      </c>
      <c r="B125" s="57"/>
      <c r="C125" s="57"/>
      <c r="D125" s="57"/>
      <c r="E125" s="57"/>
      <c r="F125" s="57"/>
      <c r="G125" s="58"/>
      <c r="H125" s="58"/>
      <c r="I125" s="59"/>
      <c r="J125" s="60"/>
      <c r="K125" s="61"/>
      <c r="L125" s="57"/>
      <c r="M125" s="57"/>
    </row>
    <row r="126" spans="1:13" ht="19" customHeight="1" x14ac:dyDescent="0.3">
      <c r="A126" s="56" t="str">
        <f>IF($C126="","",COUNTA($C$6:$C126))</f>
        <v/>
      </c>
      <c r="B126" s="57"/>
      <c r="C126" s="57"/>
      <c r="D126" s="57"/>
      <c r="E126" s="57"/>
      <c r="F126" s="57"/>
      <c r="G126" s="58"/>
      <c r="H126" s="58"/>
      <c r="I126" s="59"/>
      <c r="J126" s="60"/>
      <c r="K126" s="61"/>
      <c r="L126" s="57"/>
      <c r="M126" s="57"/>
    </row>
    <row r="127" spans="1:13" ht="19" customHeight="1" x14ac:dyDescent="0.3">
      <c r="A127" s="56" t="str">
        <f>IF($C127="","",COUNTA($C$6:$C127))</f>
        <v/>
      </c>
      <c r="B127" s="57"/>
      <c r="C127" s="57"/>
      <c r="D127" s="57"/>
      <c r="E127" s="57"/>
      <c r="F127" s="57"/>
      <c r="G127" s="58"/>
      <c r="H127" s="58"/>
      <c r="I127" s="59"/>
      <c r="J127" s="60"/>
      <c r="K127" s="61"/>
      <c r="L127" s="57"/>
      <c r="M127" s="57"/>
    </row>
    <row r="128" spans="1:13" ht="19" customHeight="1" x14ac:dyDescent="0.3">
      <c r="A128" s="56" t="str">
        <f>IF($C128="","",COUNTA($C$6:$C128))</f>
        <v/>
      </c>
      <c r="B128" s="57"/>
      <c r="C128" s="57"/>
      <c r="D128" s="57"/>
      <c r="E128" s="57"/>
      <c r="F128" s="57"/>
      <c r="G128" s="58"/>
      <c r="H128" s="58"/>
      <c r="I128" s="59"/>
      <c r="J128" s="60"/>
      <c r="K128" s="61"/>
      <c r="L128" s="57"/>
      <c r="M128" s="57"/>
    </row>
    <row r="129" spans="1:13" ht="19" customHeight="1" x14ac:dyDescent="0.3">
      <c r="A129" s="56" t="str">
        <f>IF($C129="","",COUNTA($C$6:$C129))</f>
        <v/>
      </c>
      <c r="B129" s="57"/>
      <c r="C129" s="57"/>
      <c r="D129" s="57"/>
      <c r="E129" s="57"/>
      <c r="F129" s="57"/>
      <c r="G129" s="58"/>
      <c r="H129" s="58"/>
      <c r="I129" s="59"/>
      <c r="J129" s="60"/>
      <c r="K129" s="61"/>
      <c r="L129" s="57"/>
      <c r="M129" s="57"/>
    </row>
    <row r="130" spans="1:13" ht="19" customHeight="1" x14ac:dyDescent="0.3">
      <c r="A130" s="56" t="str">
        <f>IF($C130="","",COUNTA($C$6:$C130))</f>
        <v/>
      </c>
      <c r="B130" s="57"/>
      <c r="C130" s="57"/>
      <c r="D130" s="57"/>
      <c r="E130" s="57"/>
      <c r="F130" s="57"/>
      <c r="G130" s="58"/>
      <c r="H130" s="58"/>
      <c r="I130" s="59"/>
      <c r="J130" s="60"/>
      <c r="K130" s="61"/>
      <c r="L130" s="57"/>
      <c r="M130" s="57"/>
    </row>
    <row r="131" spans="1:13" ht="19" customHeight="1" x14ac:dyDescent="0.3">
      <c r="A131" s="56" t="str">
        <f>IF($C131="","",COUNTA($C$6:$C131))</f>
        <v/>
      </c>
      <c r="B131" s="57"/>
      <c r="C131" s="57"/>
      <c r="D131" s="57"/>
      <c r="E131" s="57"/>
      <c r="F131" s="57"/>
      <c r="G131" s="58"/>
      <c r="H131" s="58"/>
      <c r="I131" s="59"/>
      <c r="J131" s="60"/>
      <c r="K131" s="61"/>
      <c r="L131" s="57"/>
      <c r="M131" s="57"/>
    </row>
    <row r="132" spans="1:13" ht="19" customHeight="1" x14ac:dyDescent="0.3">
      <c r="A132" s="56" t="str">
        <f>IF($C132="","",COUNTA($C$6:$C132))</f>
        <v/>
      </c>
      <c r="B132" s="57"/>
      <c r="C132" s="57"/>
      <c r="D132" s="57"/>
      <c r="E132" s="57"/>
      <c r="F132" s="57"/>
      <c r="G132" s="58"/>
      <c r="H132" s="58"/>
      <c r="I132" s="59"/>
      <c r="J132" s="60"/>
      <c r="K132" s="61"/>
      <c r="L132" s="57"/>
      <c r="M132" s="57"/>
    </row>
    <row r="133" spans="1:13" ht="19" customHeight="1" x14ac:dyDescent="0.3">
      <c r="A133" s="56" t="str">
        <f>IF($C133="","",COUNTA($C$6:$C133))</f>
        <v/>
      </c>
      <c r="B133" s="57"/>
      <c r="C133" s="57"/>
      <c r="D133" s="57"/>
      <c r="E133" s="57"/>
      <c r="F133" s="57"/>
      <c r="G133" s="58"/>
      <c r="H133" s="58"/>
      <c r="I133" s="59"/>
      <c r="J133" s="60"/>
      <c r="K133" s="61"/>
      <c r="L133" s="57"/>
      <c r="M133" s="57"/>
    </row>
    <row r="134" spans="1:13" ht="19" customHeight="1" x14ac:dyDescent="0.3">
      <c r="A134" s="56" t="str">
        <f>IF($C134="","",COUNTA($C$6:$C134))</f>
        <v/>
      </c>
      <c r="B134" s="57"/>
      <c r="C134" s="57"/>
      <c r="D134" s="57"/>
      <c r="E134" s="57"/>
      <c r="F134" s="57"/>
      <c r="G134" s="58"/>
      <c r="H134" s="58"/>
      <c r="I134" s="59"/>
      <c r="J134" s="60"/>
      <c r="K134" s="61"/>
      <c r="L134" s="57"/>
      <c r="M134" s="57"/>
    </row>
    <row r="135" spans="1:13" ht="19" customHeight="1" x14ac:dyDescent="0.3">
      <c r="A135" s="56" t="str">
        <f>IF($C135="","",COUNTA($C$6:$C135))</f>
        <v/>
      </c>
      <c r="B135" s="57"/>
      <c r="C135" s="57"/>
      <c r="D135" s="57"/>
      <c r="E135" s="57"/>
      <c r="F135" s="57"/>
      <c r="G135" s="58"/>
      <c r="H135" s="58"/>
      <c r="I135" s="59"/>
      <c r="J135" s="60"/>
      <c r="K135" s="61"/>
      <c r="L135" s="57"/>
      <c r="M135" s="57"/>
    </row>
    <row r="136" spans="1:13" ht="19" customHeight="1" x14ac:dyDescent="0.3">
      <c r="A136" s="56" t="str">
        <f>IF($C136="","",COUNTA($C$6:$C136))</f>
        <v/>
      </c>
      <c r="B136" s="57"/>
      <c r="C136" s="57"/>
      <c r="D136" s="57"/>
      <c r="E136" s="57"/>
      <c r="F136" s="57"/>
      <c r="G136" s="58"/>
      <c r="H136" s="58"/>
      <c r="I136" s="59"/>
      <c r="J136" s="60"/>
      <c r="K136" s="61"/>
      <c r="L136" s="57"/>
      <c r="M136" s="57"/>
    </row>
    <row r="137" spans="1:13" ht="19" customHeight="1" x14ac:dyDescent="0.3">
      <c r="A137" s="56" t="str">
        <f>IF($C137="","",COUNTA($C$6:$C137))</f>
        <v/>
      </c>
      <c r="B137" s="57"/>
      <c r="C137" s="57"/>
      <c r="D137" s="57"/>
      <c r="E137" s="57"/>
      <c r="F137" s="57"/>
      <c r="G137" s="58"/>
      <c r="H137" s="58"/>
      <c r="I137" s="59"/>
      <c r="J137" s="60"/>
      <c r="K137" s="61"/>
      <c r="L137" s="57"/>
      <c r="M137" s="57"/>
    </row>
    <row r="138" spans="1:13" ht="19" customHeight="1" x14ac:dyDescent="0.3">
      <c r="A138" s="56" t="str">
        <f>IF($C138="","",COUNTA($C$6:$C138))</f>
        <v/>
      </c>
      <c r="B138" s="57"/>
      <c r="C138" s="57"/>
      <c r="D138" s="57"/>
      <c r="E138" s="57"/>
      <c r="F138" s="57"/>
      <c r="G138" s="58"/>
      <c r="H138" s="58"/>
      <c r="I138" s="59"/>
      <c r="J138" s="60"/>
      <c r="K138" s="61"/>
      <c r="L138" s="57"/>
      <c r="M138" s="57"/>
    </row>
    <row r="139" spans="1:13" ht="19" customHeight="1" x14ac:dyDescent="0.3">
      <c r="A139" s="56" t="str">
        <f>IF($C139="","",COUNTA($C$6:$C139))</f>
        <v/>
      </c>
      <c r="B139" s="57"/>
      <c r="C139" s="57"/>
      <c r="D139" s="57"/>
      <c r="E139" s="57"/>
      <c r="F139" s="57"/>
      <c r="G139" s="58"/>
      <c r="H139" s="58"/>
      <c r="I139" s="59"/>
      <c r="J139" s="60"/>
      <c r="K139" s="61"/>
      <c r="L139" s="57"/>
      <c r="M139" s="57"/>
    </row>
    <row r="140" spans="1:13" ht="19" customHeight="1" x14ac:dyDescent="0.3">
      <c r="A140" s="56" t="str">
        <f>IF($C140="","",COUNTA($C$6:$C140))</f>
        <v/>
      </c>
      <c r="B140" s="57"/>
      <c r="C140" s="57"/>
      <c r="D140" s="57"/>
      <c r="E140" s="57"/>
      <c r="F140" s="57"/>
      <c r="G140" s="58"/>
      <c r="H140" s="58"/>
      <c r="I140" s="59"/>
      <c r="J140" s="60"/>
      <c r="K140" s="61"/>
      <c r="L140" s="57"/>
      <c r="M140" s="57"/>
    </row>
    <row r="141" spans="1:13" ht="19" customHeight="1" x14ac:dyDescent="0.3">
      <c r="A141" s="56" t="str">
        <f>IF($C141="","",COUNTA($C$6:$C141))</f>
        <v/>
      </c>
      <c r="B141" s="57"/>
      <c r="C141" s="57"/>
      <c r="D141" s="57"/>
      <c r="E141" s="57"/>
      <c r="F141" s="57"/>
      <c r="G141" s="58"/>
      <c r="H141" s="58"/>
      <c r="I141" s="59"/>
      <c r="J141" s="60"/>
      <c r="K141" s="61"/>
      <c r="L141" s="57"/>
      <c r="M141" s="57"/>
    </row>
    <row r="142" spans="1:13" ht="19" customHeight="1" x14ac:dyDescent="0.3">
      <c r="A142" s="56" t="str">
        <f>IF($C142="","",COUNTA($C$6:$C142))</f>
        <v/>
      </c>
      <c r="B142" s="57"/>
      <c r="C142" s="57"/>
      <c r="D142" s="57"/>
      <c r="E142" s="57"/>
      <c r="F142" s="57"/>
      <c r="G142" s="58"/>
      <c r="H142" s="58"/>
      <c r="I142" s="59"/>
      <c r="J142" s="60"/>
      <c r="K142" s="61"/>
      <c r="L142" s="57"/>
      <c r="M142" s="57"/>
    </row>
    <row r="143" spans="1:13" ht="19" customHeight="1" x14ac:dyDescent="0.3">
      <c r="A143" s="56" t="str">
        <f>IF($C143="","",COUNTA($C$6:$C143))</f>
        <v/>
      </c>
      <c r="B143" s="57"/>
      <c r="C143" s="57"/>
      <c r="D143" s="57"/>
      <c r="E143" s="57"/>
      <c r="F143" s="57"/>
      <c r="G143" s="58"/>
      <c r="H143" s="58"/>
      <c r="I143" s="59"/>
      <c r="J143" s="60"/>
      <c r="K143" s="61"/>
      <c r="L143" s="57"/>
      <c r="M143" s="57"/>
    </row>
    <row r="144" spans="1:13" ht="19" customHeight="1" x14ac:dyDescent="0.3">
      <c r="A144" s="56" t="str">
        <f>IF($C144="","",COUNTA($C$6:$C144))</f>
        <v/>
      </c>
      <c r="B144" s="57"/>
      <c r="C144" s="57"/>
      <c r="D144" s="57"/>
      <c r="E144" s="57"/>
      <c r="F144" s="57"/>
      <c r="G144" s="58"/>
      <c r="H144" s="58"/>
      <c r="I144" s="59"/>
      <c r="J144" s="60"/>
      <c r="K144" s="61"/>
      <c r="L144" s="57"/>
      <c r="M144" s="57"/>
    </row>
    <row r="145" spans="1:13" ht="19" customHeight="1" x14ac:dyDescent="0.3">
      <c r="A145" s="56" t="str">
        <f>IF($C145="","",COUNTA($C$6:$C145))</f>
        <v/>
      </c>
      <c r="B145" s="57"/>
      <c r="C145" s="57"/>
      <c r="D145" s="57"/>
      <c r="E145" s="57"/>
      <c r="F145" s="57"/>
      <c r="G145" s="58"/>
      <c r="H145" s="58"/>
      <c r="I145" s="59"/>
      <c r="J145" s="60"/>
      <c r="K145" s="61"/>
      <c r="L145" s="57"/>
      <c r="M145" s="57"/>
    </row>
    <row r="146" spans="1:13" ht="19" customHeight="1" x14ac:dyDescent="0.3">
      <c r="A146" s="56" t="str">
        <f>IF($C146="","",COUNTA($C$6:$C146))</f>
        <v/>
      </c>
      <c r="B146" s="57"/>
      <c r="C146" s="57"/>
      <c r="D146" s="57"/>
      <c r="E146" s="57"/>
      <c r="F146" s="57"/>
      <c r="G146" s="58"/>
      <c r="H146" s="58"/>
      <c r="I146" s="59"/>
      <c r="J146" s="60"/>
      <c r="K146" s="61"/>
      <c r="L146" s="57"/>
      <c r="M146" s="57"/>
    </row>
    <row r="147" spans="1:13" ht="19" customHeight="1" x14ac:dyDescent="0.3">
      <c r="A147" s="56" t="str">
        <f>IF($C147="","",COUNTA($C$6:$C147))</f>
        <v/>
      </c>
      <c r="B147" s="57"/>
      <c r="C147" s="57"/>
      <c r="D147" s="57"/>
      <c r="E147" s="57"/>
      <c r="F147" s="57"/>
      <c r="G147" s="58"/>
      <c r="H147" s="58"/>
      <c r="I147" s="59"/>
      <c r="J147" s="60"/>
      <c r="K147" s="61"/>
      <c r="L147" s="57"/>
      <c r="M147" s="57"/>
    </row>
    <row r="148" spans="1:13" ht="19" customHeight="1" x14ac:dyDescent="0.3">
      <c r="A148" s="56" t="str">
        <f>IF($C148="","",COUNTA($C$6:$C148))</f>
        <v/>
      </c>
      <c r="B148" s="57"/>
      <c r="C148" s="57"/>
      <c r="D148" s="57"/>
      <c r="E148" s="57"/>
      <c r="F148" s="57"/>
      <c r="G148" s="58"/>
      <c r="H148" s="58"/>
      <c r="I148" s="59"/>
      <c r="J148" s="60"/>
      <c r="K148" s="61"/>
      <c r="L148" s="57"/>
      <c r="M148" s="57"/>
    </row>
    <row r="149" spans="1:13" ht="19" customHeight="1" x14ac:dyDescent="0.3">
      <c r="A149" s="56" t="str">
        <f>IF($C149="","",COUNTA($C$6:$C149))</f>
        <v/>
      </c>
      <c r="B149" s="57"/>
      <c r="C149" s="57"/>
      <c r="D149" s="57"/>
      <c r="E149" s="57"/>
      <c r="F149" s="57"/>
      <c r="G149" s="58"/>
      <c r="H149" s="58"/>
      <c r="I149" s="59"/>
      <c r="J149" s="60"/>
      <c r="K149" s="61"/>
      <c r="L149" s="57"/>
      <c r="M149" s="57"/>
    </row>
    <row r="150" spans="1:13" ht="19" customHeight="1" x14ac:dyDescent="0.3">
      <c r="A150" s="56" t="str">
        <f>IF($C150="","",COUNTA($C$6:$C150))</f>
        <v/>
      </c>
      <c r="B150" s="57"/>
      <c r="C150" s="57"/>
      <c r="D150" s="57"/>
      <c r="E150" s="57"/>
      <c r="F150" s="57"/>
      <c r="G150" s="58"/>
      <c r="H150" s="58"/>
      <c r="I150" s="59"/>
      <c r="J150" s="60"/>
      <c r="K150" s="61"/>
      <c r="L150" s="57"/>
      <c r="M150" s="57"/>
    </row>
    <row r="151" spans="1:13" ht="19" customHeight="1" x14ac:dyDescent="0.3">
      <c r="A151" s="56" t="str">
        <f>IF($C151="","",COUNTA($C$6:$C151))</f>
        <v/>
      </c>
      <c r="B151" s="57"/>
      <c r="C151" s="57"/>
      <c r="D151" s="57"/>
      <c r="E151" s="57"/>
      <c r="F151" s="57"/>
      <c r="G151" s="58"/>
      <c r="H151" s="58"/>
      <c r="I151" s="59"/>
      <c r="J151" s="60"/>
      <c r="K151" s="61"/>
      <c r="L151" s="57"/>
      <c r="M151" s="57"/>
    </row>
    <row r="152" spans="1:13" ht="19" customHeight="1" x14ac:dyDescent="0.3">
      <c r="A152" s="56" t="str">
        <f>IF($C152="","",COUNTA($C$6:$C152))</f>
        <v/>
      </c>
      <c r="B152" s="57"/>
      <c r="C152" s="57"/>
      <c r="D152" s="57"/>
      <c r="E152" s="57"/>
      <c r="F152" s="57"/>
      <c r="G152" s="58"/>
      <c r="H152" s="58"/>
      <c r="I152" s="59"/>
      <c r="J152" s="60"/>
      <c r="K152" s="61"/>
      <c r="L152" s="57"/>
      <c r="M152" s="57"/>
    </row>
    <row r="153" spans="1:13" ht="19" customHeight="1" x14ac:dyDescent="0.3">
      <c r="A153" s="56" t="str">
        <f>IF($C153="","",COUNTA($C$6:$C153))</f>
        <v/>
      </c>
      <c r="B153" s="57"/>
      <c r="C153" s="57"/>
      <c r="D153" s="57"/>
      <c r="E153" s="57"/>
      <c r="F153" s="57"/>
      <c r="G153" s="58"/>
      <c r="H153" s="58"/>
      <c r="I153" s="59"/>
      <c r="J153" s="60"/>
      <c r="K153" s="61"/>
      <c r="L153" s="57"/>
      <c r="M153" s="57"/>
    </row>
    <row r="154" spans="1:13" ht="19" customHeight="1" x14ac:dyDescent="0.3">
      <c r="A154" s="56" t="str">
        <f>IF($C154="","",COUNTA($C$6:$C154))</f>
        <v/>
      </c>
      <c r="B154" s="57"/>
      <c r="C154" s="57"/>
      <c r="D154" s="57"/>
      <c r="E154" s="57"/>
      <c r="F154" s="57"/>
      <c r="G154" s="58"/>
      <c r="H154" s="58"/>
      <c r="I154" s="59"/>
      <c r="J154" s="60"/>
      <c r="K154" s="61"/>
      <c r="L154" s="57"/>
      <c r="M154" s="57"/>
    </row>
    <row r="155" spans="1:13" ht="19" customHeight="1" x14ac:dyDescent="0.3">
      <c r="A155" s="56" t="str">
        <f>IF($C155="","",COUNTA($C$6:$C155))</f>
        <v/>
      </c>
      <c r="B155" s="57"/>
      <c r="C155" s="57"/>
      <c r="D155" s="57"/>
      <c r="E155" s="57"/>
      <c r="F155" s="57"/>
      <c r="G155" s="58"/>
      <c r="H155" s="58"/>
      <c r="I155" s="59"/>
      <c r="J155" s="60"/>
      <c r="K155" s="61"/>
      <c r="L155" s="57"/>
      <c r="M155" s="57"/>
    </row>
    <row r="156" spans="1:13" ht="19" customHeight="1" x14ac:dyDescent="0.3">
      <c r="A156" s="56" t="str">
        <f>IF($C156="","",COUNTA($C$6:$C156))</f>
        <v/>
      </c>
      <c r="B156" s="57"/>
      <c r="C156" s="57"/>
      <c r="D156" s="57"/>
      <c r="E156" s="57"/>
      <c r="F156" s="57"/>
      <c r="G156" s="58"/>
      <c r="H156" s="58"/>
      <c r="I156" s="59"/>
      <c r="J156" s="60"/>
      <c r="K156" s="61"/>
      <c r="L156" s="57"/>
      <c r="M156" s="57"/>
    </row>
    <row r="157" spans="1:13" ht="19" customHeight="1" x14ac:dyDescent="0.3">
      <c r="A157" s="56" t="str">
        <f>IF($C157="","",COUNTA($C$6:$C157))</f>
        <v/>
      </c>
      <c r="B157" s="57"/>
      <c r="C157" s="57"/>
      <c r="D157" s="57"/>
      <c r="E157" s="57"/>
      <c r="F157" s="57"/>
      <c r="G157" s="58"/>
      <c r="H157" s="58"/>
      <c r="I157" s="59"/>
      <c r="J157" s="60"/>
      <c r="K157" s="61"/>
      <c r="L157" s="57"/>
      <c r="M157" s="57"/>
    </row>
    <row r="158" spans="1:13" ht="19" customHeight="1" x14ac:dyDescent="0.3">
      <c r="A158" s="56" t="str">
        <f>IF($C158="","",COUNTA($C$6:$C158))</f>
        <v/>
      </c>
      <c r="B158" s="57"/>
      <c r="C158" s="57"/>
      <c r="D158" s="57"/>
      <c r="E158" s="57"/>
      <c r="F158" s="57"/>
      <c r="G158" s="58"/>
      <c r="H158" s="58"/>
      <c r="I158" s="59"/>
      <c r="J158" s="60"/>
      <c r="K158" s="61"/>
      <c r="L158" s="57"/>
      <c r="M158" s="57"/>
    </row>
    <row r="159" spans="1:13" ht="19" customHeight="1" x14ac:dyDescent="0.3">
      <c r="A159" s="56" t="str">
        <f>IF($C159="","",COUNTA($C$6:$C159))</f>
        <v/>
      </c>
      <c r="B159" s="57"/>
      <c r="C159" s="57"/>
      <c r="D159" s="57"/>
      <c r="E159" s="57"/>
      <c r="F159" s="57"/>
      <c r="G159" s="58"/>
      <c r="H159" s="58"/>
      <c r="I159" s="59"/>
      <c r="J159" s="60"/>
      <c r="K159" s="61"/>
      <c r="L159" s="57"/>
      <c r="M159" s="57"/>
    </row>
    <row r="160" spans="1:13" ht="19" customHeight="1" x14ac:dyDescent="0.3">
      <c r="A160" s="56" t="str">
        <f>IF($C160="","",COUNTA($C$6:$C160))</f>
        <v/>
      </c>
      <c r="B160" s="57"/>
      <c r="C160" s="57"/>
      <c r="D160" s="57"/>
      <c r="E160" s="57"/>
      <c r="F160" s="57"/>
      <c r="G160" s="58"/>
      <c r="H160" s="58"/>
      <c r="I160" s="59"/>
      <c r="J160" s="60"/>
      <c r="K160" s="61"/>
      <c r="L160" s="57"/>
      <c r="M160" s="57"/>
    </row>
    <row r="161" spans="1:13" ht="19" customHeight="1" x14ac:dyDescent="0.3">
      <c r="A161" s="56" t="str">
        <f>IF($C161="","",COUNTA($C$6:$C161))</f>
        <v/>
      </c>
      <c r="B161" s="57"/>
      <c r="C161" s="57"/>
      <c r="D161" s="57"/>
      <c r="E161" s="57"/>
      <c r="F161" s="57"/>
      <c r="G161" s="58"/>
      <c r="H161" s="58"/>
      <c r="I161" s="59"/>
      <c r="J161" s="60"/>
      <c r="K161" s="61"/>
      <c r="L161" s="57"/>
      <c r="M161" s="57"/>
    </row>
    <row r="162" spans="1:13" ht="19" customHeight="1" x14ac:dyDescent="0.3">
      <c r="A162" s="56" t="str">
        <f>IF($C162="","",COUNTA($C$6:$C162))</f>
        <v/>
      </c>
      <c r="B162" s="57"/>
      <c r="C162" s="57"/>
      <c r="D162" s="57"/>
      <c r="E162" s="57"/>
      <c r="F162" s="57"/>
      <c r="G162" s="58"/>
      <c r="H162" s="58"/>
      <c r="I162" s="59"/>
      <c r="J162" s="60"/>
      <c r="K162" s="61"/>
      <c r="L162" s="57"/>
      <c r="M162" s="57"/>
    </row>
    <row r="163" spans="1:13" ht="19" customHeight="1" x14ac:dyDescent="0.3">
      <c r="A163" s="56" t="str">
        <f>IF($C163="","",COUNTA($C$6:$C163))</f>
        <v/>
      </c>
      <c r="B163" s="57"/>
      <c r="C163" s="57"/>
      <c r="D163" s="57"/>
      <c r="E163" s="57"/>
      <c r="F163" s="57"/>
      <c r="G163" s="58"/>
      <c r="H163" s="58"/>
      <c r="I163" s="59"/>
      <c r="J163" s="60"/>
      <c r="K163" s="61"/>
      <c r="L163" s="57"/>
      <c r="M163" s="57"/>
    </row>
    <row r="164" spans="1:13" ht="19" customHeight="1" x14ac:dyDescent="0.3">
      <c r="A164" s="56" t="str">
        <f>IF($C164="","",COUNTA($C$6:$C164))</f>
        <v/>
      </c>
      <c r="B164" s="57"/>
      <c r="C164" s="57"/>
      <c r="D164" s="57"/>
      <c r="E164" s="57"/>
      <c r="F164" s="57"/>
      <c r="G164" s="58"/>
      <c r="H164" s="58"/>
      <c r="I164" s="59"/>
      <c r="J164" s="60"/>
      <c r="K164" s="61"/>
      <c r="L164" s="57"/>
      <c r="M164" s="57"/>
    </row>
    <row r="165" spans="1:13" ht="19" customHeight="1" x14ac:dyDescent="0.3">
      <c r="A165" s="56" t="str">
        <f>IF($C165="","",COUNTA($C$6:$C165))</f>
        <v/>
      </c>
      <c r="B165" s="57"/>
      <c r="C165" s="57"/>
      <c r="D165" s="57"/>
      <c r="E165" s="57"/>
      <c r="F165" s="57"/>
      <c r="G165" s="58"/>
      <c r="H165" s="58"/>
      <c r="I165" s="59"/>
      <c r="J165" s="60"/>
      <c r="K165" s="61"/>
      <c r="L165" s="57"/>
      <c r="M165" s="57"/>
    </row>
    <row r="166" spans="1:13" ht="19" customHeight="1" x14ac:dyDescent="0.3">
      <c r="A166" s="56" t="str">
        <f>IF($C166="","",COUNTA($C$6:$C166))</f>
        <v/>
      </c>
      <c r="B166" s="57"/>
      <c r="C166" s="57"/>
      <c r="D166" s="57"/>
      <c r="E166" s="57"/>
      <c r="F166" s="57"/>
      <c r="G166" s="58"/>
      <c r="H166" s="58"/>
      <c r="I166" s="59"/>
      <c r="J166" s="60"/>
      <c r="K166" s="61"/>
      <c r="L166" s="57"/>
      <c r="M166" s="57"/>
    </row>
    <row r="167" spans="1:13" ht="19" customHeight="1" x14ac:dyDescent="0.3">
      <c r="A167" s="56" t="str">
        <f>IF($C167="","",COUNTA($C$6:$C167))</f>
        <v/>
      </c>
      <c r="B167" s="57"/>
      <c r="C167" s="57"/>
      <c r="D167" s="57"/>
      <c r="E167" s="57"/>
      <c r="F167" s="57"/>
      <c r="G167" s="58"/>
      <c r="H167" s="58"/>
      <c r="I167" s="59"/>
      <c r="J167" s="60"/>
      <c r="K167" s="61"/>
      <c r="L167" s="57"/>
      <c r="M167" s="57"/>
    </row>
    <row r="168" spans="1:13" ht="19" customHeight="1" x14ac:dyDescent="0.3">
      <c r="A168" s="56" t="str">
        <f>IF($C168="","",COUNTA($C$6:$C168))</f>
        <v/>
      </c>
      <c r="B168" s="57"/>
      <c r="C168" s="57"/>
      <c r="D168" s="57"/>
      <c r="E168" s="57"/>
      <c r="F168" s="57"/>
      <c r="G168" s="58"/>
      <c r="H168" s="58"/>
      <c r="I168" s="59"/>
      <c r="J168" s="60"/>
      <c r="K168" s="61"/>
      <c r="L168" s="57"/>
      <c r="M168" s="57"/>
    </row>
    <row r="169" spans="1:13" ht="19" customHeight="1" x14ac:dyDescent="0.3">
      <c r="A169" s="56" t="str">
        <f>IF($C169="","",COUNTA($C$6:$C169))</f>
        <v/>
      </c>
      <c r="B169" s="57"/>
      <c r="C169" s="57"/>
      <c r="D169" s="57"/>
      <c r="E169" s="57"/>
      <c r="F169" s="57"/>
      <c r="G169" s="58"/>
      <c r="H169" s="58"/>
      <c r="I169" s="59"/>
      <c r="J169" s="60"/>
      <c r="K169" s="61"/>
      <c r="L169" s="57"/>
      <c r="M169" s="57"/>
    </row>
    <row r="170" spans="1:13" ht="19" customHeight="1" x14ac:dyDescent="0.3">
      <c r="A170" s="56" t="str">
        <f>IF($C170="","",COUNTA($C$6:$C170))</f>
        <v/>
      </c>
      <c r="B170" s="57"/>
      <c r="C170" s="57"/>
      <c r="D170" s="57"/>
      <c r="E170" s="57"/>
      <c r="F170" s="57"/>
      <c r="G170" s="58"/>
      <c r="H170" s="58"/>
      <c r="I170" s="59"/>
      <c r="J170" s="60"/>
      <c r="K170" s="61"/>
      <c r="L170" s="57"/>
      <c r="M170" s="57"/>
    </row>
    <row r="171" spans="1:13" ht="19" customHeight="1" x14ac:dyDescent="0.3">
      <c r="A171" s="56" t="str">
        <f>IF($C171="","",COUNTA($C$6:$C171))</f>
        <v/>
      </c>
      <c r="B171" s="57"/>
      <c r="C171" s="57"/>
      <c r="D171" s="57"/>
      <c r="E171" s="57"/>
      <c r="F171" s="57"/>
      <c r="G171" s="58"/>
      <c r="H171" s="58"/>
      <c r="I171" s="59"/>
      <c r="J171" s="60"/>
      <c r="K171" s="61"/>
      <c r="L171" s="57"/>
      <c r="M171" s="57"/>
    </row>
    <row r="172" spans="1:13" ht="19" customHeight="1" x14ac:dyDescent="0.3">
      <c r="A172" s="56" t="str">
        <f>IF($C172="","",COUNTA($C$6:$C172))</f>
        <v/>
      </c>
      <c r="B172" s="57"/>
      <c r="C172" s="57"/>
      <c r="D172" s="57"/>
      <c r="E172" s="57"/>
      <c r="F172" s="57"/>
      <c r="G172" s="58"/>
      <c r="H172" s="58"/>
      <c r="I172" s="59"/>
      <c r="J172" s="60"/>
      <c r="K172" s="61"/>
      <c r="L172" s="57"/>
      <c r="M172" s="57"/>
    </row>
    <row r="173" spans="1:13" ht="19" customHeight="1" x14ac:dyDescent="0.3">
      <c r="A173" s="56" t="str">
        <f>IF($C173="","",COUNTA($C$6:$C173))</f>
        <v/>
      </c>
      <c r="B173" s="57"/>
      <c r="C173" s="57"/>
      <c r="D173" s="57"/>
      <c r="E173" s="57"/>
      <c r="F173" s="57"/>
      <c r="G173" s="58"/>
      <c r="H173" s="58"/>
      <c r="I173" s="59"/>
      <c r="J173" s="60"/>
      <c r="K173" s="61"/>
      <c r="L173" s="57"/>
      <c r="M173" s="57"/>
    </row>
    <row r="174" spans="1:13" ht="19" customHeight="1" x14ac:dyDescent="0.3">
      <c r="A174" s="56" t="str">
        <f>IF($C174="","",COUNTA($C$6:$C174))</f>
        <v/>
      </c>
      <c r="B174" s="57"/>
      <c r="C174" s="57"/>
      <c r="D174" s="57"/>
      <c r="E174" s="57"/>
      <c r="F174" s="57"/>
      <c r="G174" s="58"/>
      <c r="H174" s="58"/>
      <c r="I174" s="59"/>
      <c r="J174" s="60"/>
      <c r="K174" s="61"/>
      <c r="L174" s="57"/>
      <c r="M174" s="57"/>
    </row>
    <row r="175" spans="1:13" ht="19" customHeight="1" x14ac:dyDescent="0.3">
      <c r="A175" s="56" t="str">
        <f>IF($C175="","",COUNTA($C$6:$C175))</f>
        <v/>
      </c>
      <c r="B175" s="57"/>
      <c r="C175" s="57"/>
      <c r="D175" s="57"/>
      <c r="E175" s="57"/>
      <c r="F175" s="57"/>
      <c r="G175" s="58"/>
      <c r="H175" s="58"/>
      <c r="I175" s="59"/>
      <c r="J175" s="60"/>
      <c r="K175" s="61"/>
      <c r="L175" s="57"/>
      <c r="M175" s="57"/>
    </row>
    <row r="176" spans="1:13" ht="19" customHeight="1" x14ac:dyDescent="0.3">
      <c r="A176" s="56" t="str">
        <f>IF($C176="","",COUNTA($C$6:$C176))</f>
        <v/>
      </c>
      <c r="B176" s="57"/>
      <c r="C176" s="57"/>
      <c r="D176" s="57"/>
      <c r="E176" s="57"/>
      <c r="F176" s="57"/>
      <c r="G176" s="58"/>
      <c r="H176" s="58"/>
      <c r="I176" s="59"/>
      <c r="J176" s="60"/>
      <c r="K176" s="61"/>
      <c r="L176" s="57"/>
      <c r="M176" s="57"/>
    </row>
    <row r="177" spans="1:13" ht="19" customHeight="1" x14ac:dyDescent="0.3">
      <c r="A177" s="56" t="str">
        <f>IF($C177="","",COUNTA($C$6:$C177))</f>
        <v/>
      </c>
      <c r="B177" s="57"/>
      <c r="C177" s="57"/>
      <c r="D177" s="57"/>
      <c r="E177" s="57"/>
      <c r="F177" s="57"/>
      <c r="G177" s="58"/>
      <c r="H177" s="58"/>
      <c r="I177" s="59"/>
      <c r="J177" s="60"/>
      <c r="K177" s="61"/>
      <c r="L177" s="57"/>
      <c r="M177" s="57"/>
    </row>
    <row r="178" spans="1:13" ht="19" customHeight="1" x14ac:dyDescent="0.3">
      <c r="A178" s="56" t="str">
        <f>IF($C178="","",COUNTA($C$6:$C178))</f>
        <v/>
      </c>
      <c r="B178" s="57"/>
      <c r="C178" s="57"/>
      <c r="D178" s="57"/>
      <c r="E178" s="57"/>
      <c r="F178" s="57"/>
      <c r="G178" s="58"/>
      <c r="H178" s="58"/>
      <c r="I178" s="59"/>
      <c r="J178" s="60"/>
      <c r="K178" s="61"/>
      <c r="L178" s="57"/>
      <c r="M178" s="57"/>
    </row>
    <row r="179" spans="1:13" ht="19" customHeight="1" x14ac:dyDescent="0.3">
      <c r="A179" s="56" t="str">
        <f>IF($C179="","",COUNTA($C$6:$C179))</f>
        <v/>
      </c>
      <c r="B179" s="57"/>
      <c r="C179" s="57"/>
      <c r="D179" s="57"/>
      <c r="E179" s="57"/>
      <c r="F179" s="57"/>
      <c r="G179" s="58"/>
      <c r="H179" s="58"/>
      <c r="I179" s="59"/>
      <c r="J179" s="60"/>
      <c r="K179" s="61"/>
      <c r="L179" s="57"/>
      <c r="M179" s="57"/>
    </row>
    <row r="180" spans="1:13" ht="19" customHeight="1" x14ac:dyDescent="0.3">
      <c r="A180" s="56" t="str">
        <f>IF($C180="","",COUNTA($C$6:$C180))</f>
        <v/>
      </c>
      <c r="B180" s="57"/>
      <c r="C180" s="57"/>
      <c r="D180" s="57"/>
      <c r="E180" s="57"/>
      <c r="F180" s="57"/>
      <c r="G180" s="58"/>
      <c r="H180" s="58"/>
      <c r="I180" s="59"/>
      <c r="J180" s="60"/>
      <c r="K180" s="61"/>
      <c r="L180" s="57"/>
      <c r="M180" s="57"/>
    </row>
    <row r="181" spans="1:13" ht="19" customHeight="1" x14ac:dyDescent="0.3">
      <c r="A181" s="56" t="str">
        <f>IF($C181="","",COUNTA($C$6:$C181))</f>
        <v/>
      </c>
      <c r="B181" s="57"/>
      <c r="C181" s="57"/>
      <c r="D181" s="57"/>
      <c r="E181" s="57"/>
      <c r="F181" s="57"/>
      <c r="G181" s="58"/>
      <c r="H181" s="58"/>
      <c r="I181" s="59"/>
      <c r="J181" s="60"/>
      <c r="K181" s="61"/>
      <c r="L181" s="57"/>
      <c r="M181" s="57"/>
    </row>
    <row r="182" spans="1:13" ht="19" customHeight="1" x14ac:dyDescent="0.3">
      <c r="A182" s="56" t="str">
        <f>IF($C182="","",COUNTA($C$6:$C182))</f>
        <v/>
      </c>
      <c r="B182" s="57"/>
      <c r="C182" s="57"/>
      <c r="D182" s="57"/>
      <c r="E182" s="57"/>
      <c r="F182" s="57"/>
      <c r="G182" s="58"/>
      <c r="H182" s="58"/>
      <c r="I182" s="59"/>
      <c r="J182" s="60"/>
      <c r="K182" s="61"/>
      <c r="L182" s="57"/>
      <c r="M182" s="57"/>
    </row>
    <row r="183" spans="1:13" ht="19" customHeight="1" x14ac:dyDescent="0.3">
      <c r="A183" s="56" t="str">
        <f>IF($C183="","",COUNTA($C$6:$C183))</f>
        <v/>
      </c>
      <c r="B183" s="57"/>
      <c r="C183" s="57"/>
      <c r="D183" s="57"/>
      <c r="E183" s="57"/>
      <c r="F183" s="57"/>
      <c r="G183" s="58"/>
      <c r="H183" s="58"/>
      <c r="I183" s="59"/>
      <c r="J183" s="60"/>
      <c r="K183" s="61"/>
      <c r="L183" s="57"/>
      <c r="M183" s="57"/>
    </row>
    <row r="184" spans="1:13" ht="19" customHeight="1" x14ac:dyDescent="0.3">
      <c r="A184" s="56" t="str">
        <f>IF($C184="","",COUNTA($C$6:$C184))</f>
        <v/>
      </c>
      <c r="B184" s="57"/>
      <c r="C184" s="57"/>
      <c r="D184" s="57"/>
      <c r="E184" s="57"/>
      <c r="F184" s="57"/>
      <c r="G184" s="58"/>
      <c r="H184" s="58"/>
      <c r="I184" s="59"/>
      <c r="J184" s="60"/>
      <c r="K184" s="61"/>
      <c r="L184" s="57"/>
      <c r="M184" s="57"/>
    </row>
    <row r="185" spans="1:13" ht="19" customHeight="1" x14ac:dyDescent="0.3">
      <c r="A185" s="56" t="str">
        <f>IF($C185="","",COUNTA($C$6:$C185))</f>
        <v/>
      </c>
      <c r="B185" s="57"/>
      <c r="C185" s="57"/>
      <c r="D185" s="57"/>
      <c r="E185" s="57"/>
      <c r="F185" s="57"/>
      <c r="G185" s="58"/>
      <c r="H185" s="58"/>
      <c r="I185" s="59"/>
      <c r="J185" s="60"/>
      <c r="K185" s="61"/>
      <c r="L185" s="57"/>
      <c r="M185" s="57"/>
    </row>
    <row r="186" spans="1:13" ht="19" customHeight="1" x14ac:dyDescent="0.3">
      <c r="A186" s="56" t="str">
        <f>IF($C186="","",COUNTA($C$6:$C186))</f>
        <v/>
      </c>
      <c r="B186" s="57"/>
      <c r="C186" s="57"/>
      <c r="D186" s="57"/>
      <c r="E186" s="57"/>
      <c r="F186" s="57"/>
      <c r="G186" s="58"/>
      <c r="H186" s="58"/>
      <c r="I186" s="59"/>
      <c r="J186" s="60"/>
      <c r="K186" s="61"/>
      <c r="L186" s="57"/>
      <c r="M186" s="57"/>
    </row>
    <row r="187" spans="1:13" ht="19" customHeight="1" x14ac:dyDescent="0.3">
      <c r="A187" s="56" t="str">
        <f>IF($C187="","",COUNTA($C$6:$C187))</f>
        <v/>
      </c>
      <c r="B187" s="57"/>
      <c r="C187" s="57"/>
      <c r="D187" s="57"/>
      <c r="E187" s="57"/>
      <c r="F187" s="57"/>
      <c r="G187" s="58"/>
      <c r="H187" s="58"/>
      <c r="I187" s="59"/>
      <c r="J187" s="60"/>
      <c r="K187" s="61"/>
      <c r="L187" s="57"/>
      <c r="M187" s="57"/>
    </row>
    <row r="188" spans="1:13" ht="19" customHeight="1" x14ac:dyDescent="0.3">
      <c r="A188" s="56" t="str">
        <f>IF($C188="","",COUNTA($C$6:$C188))</f>
        <v/>
      </c>
      <c r="B188" s="57"/>
      <c r="C188" s="57"/>
      <c r="D188" s="57"/>
      <c r="E188" s="57"/>
      <c r="F188" s="57"/>
      <c r="G188" s="58"/>
      <c r="H188" s="58"/>
      <c r="I188" s="59"/>
      <c r="J188" s="60"/>
      <c r="K188" s="61"/>
      <c r="L188" s="57"/>
      <c r="M188" s="57"/>
    </row>
    <row r="189" spans="1:13" ht="19" customHeight="1" x14ac:dyDescent="0.3">
      <c r="A189" s="56" t="str">
        <f>IF($C189="","",COUNTA($C$6:$C189))</f>
        <v/>
      </c>
      <c r="B189" s="57"/>
      <c r="C189" s="57"/>
      <c r="D189" s="57"/>
      <c r="E189" s="57"/>
      <c r="F189" s="57"/>
      <c r="G189" s="58"/>
      <c r="H189" s="58"/>
      <c r="I189" s="59"/>
      <c r="J189" s="60"/>
      <c r="K189" s="61"/>
      <c r="L189" s="57"/>
      <c r="M189" s="57"/>
    </row>
    <row r="190" spans="1:13" ht="19" customHeight="1" x14ac:dyDescent="0.3">
      <c r="A190" s="56" t="str">
        <f>IF($C190="","",COUNTA($C$6:$C190))</f>
        <v/>
      </c>
      <c r="B190" s="57"/>
      <c r="C190" s="57"/>
      <c r="D190" s="57"/>
      <c r="E190" s="57"/>
      <c r="F190" s="57"/>
      <c r="G190" s="58"/>
      <c r="H190" s="58"/>
      <c r="I190" s="59"/>
      <c r="J190" s="60"/>
      <c r="K190" s="61"/>
      <c r="L190" s="57"/>
      <c r="M190" s="57"/>
    </row>
    <row r="191" spans="1:13" ht="19" customHeight="1" x14ac:dyDescent="0.3">
      <c r="A191" s="56" t="str">
        <f>IF($C191="","",COUNTA($C$6:$C191))</f>
        <v/>
      </c>
      <c r="B191" s="57"/>
      <c r="C191" s="57"/>
      <c r="D191" s="57"/>
      <c r="E191" s="57"/>
      <c r="F191" s="57"/>
      <c r="G191" s="58"/>
      <c r="H191" s="58"/>
      <c r="I191" s="59"/>
      <c r="J191" s="60"/>
      <c r="K191" s="61"/>
      <c r="L191" s="57"/>
      <c r="M191" s="57"/>
    </row>
    <row r="192" spans="1:13" ht="19" customHeight="1" x14ac:dyDescent="0.3">
      <c r="A192" s="56" t="str">
        <f>IF($C192="","",COUNTA($C$6:$C192))</f>
        <v/>
      </c>
      <c r="B192" s="57"/>
      <c r="C192" s="57"/>
      <c r="D192" s="57"/>
      <c r="E192" s="57"/>
      <c r="F192" s="57"/>
      <c r="G192" s="58"/>
      <c r="H192" s="58"/>
      <c r="I192" s="59"/>
      <c r="J192" s="60"/>
      <c r="K192" s="61"/>
      <c r="L192" s="57"/>
      <c r="M192" s="57"/>
    </row>
    <row r="193" spans="1:13" ht="19" customHeight="1" x14ac:dyDescent="0.3">
      <c r="A193" s="56" t="str">
        <f>IF($C193="","",COUNTA($C$6:$C193))</f>
        <v/>
      </c>
      <c r="B193" s="57"/>
      <c r="C193" s="57"/>
      <c r="D193" s="57"/>
      <c r="E193" s="57"/>
      <c r="F193" s="57"/>
      <c r="G193" s="58"/>
      <c r="H193" s="58"/>
      <c r="I193" s="59"/>
      <c r="J193" s="60"/>
      <c r="K193" s="61"/>
      <c r="L193" s="57"/>
      <c r="M193" s="57"/>
    </row>
    <row r="194" spans="1:13" ht="19" customHeight="1" x14ac:dyDescent="0.3">
      <c r="A194" s="56" t="str">
        <f>IF($C194="","",COUNTA($C$6:$C194))</f>
        <v/>
      </c>
      <c r="B194" s="57"/>
      <c r="C194" s="57"/>
      <c r="D194" s="57"/>
      <c r="E194" s="57"/>
      <c r="F194" s="57"/>
      <c r="G194" s="58"/>
      <c r="H194" s="58"/>
      <c r="I194" s="59"/>
      <c r="J194" s="60"/>
      <c r="K194" s="61"/>
      <c r="L194" s="57"/>
      <c r="M194" s="57"/>
    </row>
    <row r="195" spans="1:13" ht="19" customHeight="1" x14ac:dyDescent="0.3">
      <c r="A195" s="56" t="str">
        <f>IF($C195="","",COUNTA($C$6:$C195))</f>
        <v/>
      </c>
      <c r="B195" s="57"/>
      <c r="C195" s="57"/>
      <c r="D195" s="57"/>
      <c r="E195" s="57"/>
      <c r="F195" s="57"/>
      <c r="G195" s="58"/>
      <c r="H195" s="58"/>
      <c r="I195" s="59"/>
      <c r="J195" s="60"/>
      <c r="K195" s="61"/>
      <c r="L195" s="57"/>
      <c r="M195" s="57"/>
    </row>
    <row r="196" spans="1:13" ht="19" customHeight="1" x14ac:dyDescent="0.3">
      <c r="A196" s="56" t="str">
        <f>IF($C196="","",COUNTA($C$6:$C196))</f>
        <v/>
      </c>
      <c r="B196" s="57"/>
      <c r="C196" s="57"/>
      <c r="D196" s="57"/>
      <c r="E196" s="57"/>
      <c r="F196" s="57"/>
      <c r="G196" s="58"/>
      <c r="H196" s="58"/>
      <c r="I196" s="59"/>
      <c r="J196" s="60"/>
      <c r="K196" s="61"/>
      <c r="L196" s="57"/>
      <c r="M196" s="57"/>
    </row>
    <row r="197" spans="1:13" ht="19" customHeight="1" x14ac:dyDescent="0.3">
      <c r="A197" s="56" t="str">
        <f>IF($C197="","",COUNTA($C$6:$C197))</f>
        <v/>
      </c>
      <c r="B197" s="57"/>
      <c r="C197" s="57"/>
      <c r="D197" s="57"/>
      <c r="E197" s="57"/>
      <c r="F197" s="57"/>
      <c r="G197" s="58"/>
      <c r="H197" s="58"/>
      <c r="I197" s="59"/>
      <c r="J197" s="60"/>
      <c r="K197" s="61"/>
      <c r="L197" s="57"/>
      <c r="M197" s="57"/>
    </row>
    <row r="198" spans="1:13" ht="19" customHeight="1" x14ac:dyDescent="0.3">
      <c r="A198" s="56" t="str">
        <f>IF($C198="","",COUNTA($C$6:$C198))</f>
        <v/>
      </c>
      <c r="B198" s="57"/>
      <c r="C198" s="57"/>
      <c r="D198" s="57"/>
      <c r="E198" s="57"/>
      <c r="F198" s="57"/>
      <c r="G198" s="58"/>
      <c r="H198" s="58"/>
      <c r="I198" s="59"/>
      <c r="J198" s="60"/>
      <c r="K198" s="61"/>
      <c r="L198" s="57"/>
      <c r="M198" s="57"/>
    </row>
    <row r="199" spans="1:13" ht="19" customHeight="1" x14ac:dyDescent="0.3">
      <c r="A199" s="56" t="str">
        <f>IF($C199="","",COUNTA($C$6:$C199))</f>
        <v/>
      </c>
      <c r="B199" s="57"/>
      <c r="C199" s="57"/>
      <c r="D199" s="57"/>
      <c r="E199" s="57"/>
      <c r="F199" s="57"/>
      <c r="G199" s="58"/>
      <c r="H199" s="58"/>
      <c r="I199" s="59"/>
      <c r="J199" s="60"/>
      <c r="K199" s="61"/>
      <c r="L199" s="57"/>
      <c r="M199" s="57"/>
    </row>
    <row r="200" spans="1:13" ht="19" customHeight="1" x14ac:dyDescent="0.3">
      <c r="A200" s="56" t="str">
        <f>IF($C200="","",COUNTA($C$6:$C200))</f>
        <v/>
      </c>
      <c r="B200" s="57"/>
      <c r="C200" s="57"/>
      <c r="D200" s="57"/>
      <c r="E200" s="57"/>
      <c r="F200" s="57"/>
      <c r="G200" s="58"/>
      <c r="H200" s="58"/>
      <c r="I200" s="59"/>
      <c r="J200" s="60"/>
      <c r="K200" s="61"/>
      <c r="L200" s="57"/>
      <c r="M200" s="57"/>
    </row>
  </sheetData>
  <mergeCells count="14">
    <mergeCell ref="I3:J3"/>
    <mergeCell ref="K3:L3"/>
    <mergeCell ref="A4:C4"/>
    <mergeCell ref="D4:E4"/>
    <mergeCell ref="F4:H4"/>
    <mergeCell ref="I4:J4"/>
    <mergeCell ref="K4:L4"/>
    <mergeCell ref="A3:C3"/>
    <mergeCell ref="D3:E3"/>
    <mergeCell ref="F3:H3"/>
    <mergeCell ref="A1:E1"/>
    <mergeCell ref="A2:E2"/>
    <mergeCell ref="J1:M1"/>
    <mergeCell ref="J2:M2"/>
  </mergeCells>
  <conditionalFormatting sqref="B6:B38 B40:B48 B50:B200">
    <cfRule type="containsText" dxfId="12" priority="1" operator="containsText" text="Applied">
      <formula>NOT(ISERROR(SEARCH("Applied",B6)))</formula>
    </cfRule>
  </conditionalFormatting>
  <conditionalFormatting sqref="B6:B38 B40:B48 B50:B200">
    <cfRule type="containsText" dxfId="11" priority="2" operator="containsText" text="Interview">
      <formula>NOT(ISERROR(SEARCH("Interview",B6)))</formula>
    </cfRule>
  </conditionalFormatting>
  <conditionalFormatting sqref="B6:B38 B40:B48 B50:B200">
    <cfRule type="containsText" dxfId="10" priority="3" operator="containsText" text="Offer">
      <formula>NOT(ISERROR(SEARCH("Offer",B6)))</formula>
    </cfRule>
  </conditionalFormatting>
  <conditionalFormatting sqref="B6:B38 B40:B48 B50:B200">
    <cfRule type="containsText" dxfId="9" priority="4" operator="containsText" text="Rejected">
      <formula>NOT(ISERROR(SEARCH("Rejected",B6)))</formula>
    </cfRule>
  </conditionalFormatting>
  <conditionalFormatting sqref="B6:B38 B40:B48 B50:B200">
    <cfRule type="containsText" dxfId="8" priority="5" operator="containsText" text="Ghosted">
      <formula>NOT(ISERROR(SEARCH("Ghosted",B6)))</formula>
    </cfRule>
  </conditionalFormatting>
  <conditionalFormatting sqref="F6:F38 F40:F48 F50:F200">
    <cfRule type="containsText" dxfId="7" priority="6" operator="containsText" text="On-site">
      <formula>NOT(ISERROR(SEARCH("On-site",F6)))</formula>
    </cfRule>
  </conditionalFormatting>
  <conditionalFormatting sqref="F6:F38 F40:F48 F50:F200">
    <cfRule type="containsText" dxfId="6" priority="7" operator="containsText" text="Remote">
      <formula>NOT(ISERROR(SEARCH("Remote",F6)))</formula>
    </cfRule>
  </conditionalFormatting>
  <conditionalFormatting sqref="F6:F38 F40:F48 F50:F200">
    <cfRule type="containsText" dxfId="5" priority="8" operator="containsText" text="Hybrid">
      <formula>NOT(ISERROR(SEARCH("Hybrid",F6)))</formula>
    </cfRule>
  </conditionalFormatting>
  <conditionalFormatting sqref="H6:H38 H40:H48 H50:H200">
    <cfRule type="expression" dxfId="4" priority="9">
      <formula>AND(H6&lt;&gt;"",H6&gt;=TODAY(),H6&lt;=TODAY()+14)</formula>
    </cfRule>
  </conditionalFormatting>
  <conditionalFormatting sqref="A6:A200">
    <cfRule type="expression" dxfId="3" priority="10">
      <formula>AND(MOD(ROW(),2)=0,$C6&lt;&gt;"")</formula>
    </cfRule>
  </conditionalFormatting>
  <conditionalFormatting sqref="C6:E38 C40:E48 C50:E200">
    <cfRule type="expression" dxfId="2" priority="11">
      <formula>AND(MOD(ROW(),2)=0,$C6&lt;&gt;"")</formula>
    </cfRule>
  </conditionalFormatting>
  <conditionalFormatting sqref="G6:M38 G40:M48 G50:M200">
    <cfRule type="expression" dxfId="1" priority="12">
      <formula>AND(MOD(ROW(),2)=0,$C6&lt;&gt;"")</formula>
    </cfRule>
  </conditionalFormatting>
  <conditionalFormatting sqref="A6:M38 A40:M48 A39 A50:M200 A49">
    <cfRule type="expression" dxfId="0" priority="13">
      <formula>$C6&lt;&gt;""</formula>
    </cfRule>
  </conditionalFormatting>
  <dataValidations count="3">
    <dataValidation type="list" allowBlank="1" showInputMessage="1" showErrorMessage="1" sqref="B5 B201:B1048576" xr:uid="{58A37993-B502-4E52-A808-2C7BEC7CB699}">
      <formula1>"Applied, Interviewing, Offer, Rejected"</formula1>
    </dataValidation>
    <dataValidation type="list" errorStyle="warning" allowBlank="1" showInputMessage="1" showErrorMessage="1" errorTitle="Status" error="Use one of the listed options." promptTitle="Status" prompt="Pick from the dropdown to keep the dashboard accurate." sqref="B6:B38 B40:B48 B50:B200" xr:uid="{579C8E29-C6C4-4CAA-AD3C-0BE1D72D66A8}">
      <formula1>"📨 Applied,📞 Interview,🏆 Offer,❌ Rejected,👻 Ghosted"</formula1>
    </dataValidation>
    <dataValidation type="list" errorStyle="warning" allowBlank="1" showInputMessage="1" showErrorMessage="1" errorTitle="Work Type" error="Use one of the listed options." promptTitle="Work Type" prompt="Pick from the dropdown to keep the dashboard accurate." sqref="F6:F38 F40:F48 F50:F200" xr:uid="{E7199149-E532-49DC-9C03-D3490CE66C3A}">
      <formula1>"🏢 On-site,🏠 Remote,🔀 Hybrid"</formula1>
    </dataValidation>
  </dataValidations>
  <hyperlinks>
    <hyperlink ref="K6" location="'Job Tracker'!K6" display="'Job Tracker'!K6" xr:uid="{DE57FFC9-BE53-408F-9C66-6E184F6B6147}"/>
  </hyperlinks>
  <pageMargins left="0.25" right="0.25" top="0.75" bottom="0.75" header="0.3" footer="0.3"/>
  <pageSetup paperSize="9" scale="49" fitToHeight="0" orientation="landscape" r:id="rId1"/>
  <ignoredErrors>
    <ignoredError sqref="B5" listDataValidatio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CAA5-65F0-4DE9-8512-F7D5652F5CFE}">
  <sheetPr>
    <pageSetUpPr fitToPage="1"/>
  </sheetPr>
  <dimension ref="A1:Q60"/>
  <sheetViews>
    <sheetView showGridLines="0" zoomScale="70" zoomScaleNormal="70" workbookViewId="0">
      <selection activeCell="Q9" sqref="Q9"/>
    </sheetView>
  </sheetViews>
  <sheetFormatPr defaultRowHeight="14.5" x14ac:dyDescent="0.35"/>
  <cols>
    <col min="1" max="14" width="11.26953125" customWidth="1"/>
    <col min="15" max="15" width="2.90625" customWidth="1"/>
    <col min="16" max="16" width="27.26953125" customWidth="1"/>
    <col min="17" max="17" width="12.7265625" customWidth="1"/>
  </cols>
  <sheetData>
    <row r="1" spans="1:17" ht="26" x14ac:dyDescent="0.6">
      <c r="A1" s="27" t="s">
        <v>145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P1" s="29" t="s">
        <v>146</v>
      </c>
      <c r="Q1" s="30"/>
    </row>
    <row r="2" spans="1:17" x14ac:dyDescent="0.35">
      <c r="A2" s="28" t="str">
        <f>"All figures calculated live from the Job Tracker table — "&amp;COUNTA(Table2[Company])&amp;" applications logged"</f>
        <v>All figures calculated live from the Job Tracker table — 33 applications logged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P2" s="31"/>
      <c r="Q2" s="30"/>
    </row>
    <row r="3" spans="1:17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P3" s="30"/>
      <c r="Q3" s="30"/>
    </row>
    <row r="4" spans="1:17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P4" s="32" t="s">
        <v>0</v>
      </c>
      <c r="Q4" s="34" t="s">
        <v>147</v>
      </c>
    </row>
    <row r="5" spans="1:17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P5" s="30" t="s">
        <v>10</v>
      </c>
      <c r="Q5" s="35">
        <f>COUNTIF(Table2[Status],"*"&amp;$P5&amp;"*")</f>
        <v>13</v>
      </c>
    </row>
    <row r="6" spans="1:17" x14ac:dyDescent="0.3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P6" s="30" t="s">
        <v>148</v>
      </c>
      <c r="Q6" s="35">
        <f>COUNTIF(Table2[Status],"*"&amp;$P6&amp;"*")</f>
        <v>7</v>
      </c>
    </row>
    <row r="7" spans="1:17" x14ac:dyDescent="0.3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P7" s="30" t="s">
        <v>11</v>
      </c>
      <c r="Q7" s="35">
        <f>COUNTIF(Table2[Status],"*"&amp;$P7&amp;"*")</f>
        <v>2</v>
      </c>
    </row>
    <row r="8" spans="1:17" x14ac:dyDescent="0.3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P8" s="30" t="s">
        <v>12</v>
      </c>
      <c r="Q8" s="35">
        <f>COUNTIF(Table2[Status],"*"&amp;$P8&amp;"*")</f>
        <v>7</v>
      </c>
    </row>
    <row r="9" spans="1:17" x14ac:dyDescent="0.3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P9" s="30" t="s">
        <v>149</v>
      </c>
      <c r="Q9" s="35">
        <f>COUNTIF(Table2[Status],"*"&amp;$P9&amp;"*")</f>
        <v>4</v>
      </c>
    </row>
    <row r="10" spans="1:17" x14ac:dyDescent="0.3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P10" s="30"/>
      <c r="Q10" s="35"/>
    </row>
    <row r="11" spans="1:17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32" t="s">
        <v>150</v>
      </c>
      <c r="Q11" s="34" t="s">
        <v>147</v>
      </c>
    </row>
    <row r="12" spans="1:17" x14ac:dyDescent="0.3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P12" s="30" t="s">
        <v>151</v>
      </c>
      <c r="Q12" s="35">
        <f>COUNTIF(Table2[Type],"*"&amp;$P12&amp;"*")</f>
        <v>14</v>
      </c>
    </row>
    <row r="13" spans="1:17" x14ac:dyDescent="0.3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P13" s="30" t="s">
        <v>46</v>
      </c>
      <c r="Q13" s="35">
        <f>COUNTIF(Table2[Type],"*"&amp;$P13&amp;"*")</f>
        <v>8</v>
      </c>
    </row>
    <row r="14" spans="1:17" x14ac:dyDescent="0.3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P14" s="30" t="s">
        <v>152</v>
      </c>
      <c r="Q14" s="35">
        <f>COUNTIF(Table2[Type],"*"&amp;$P14&amp;"*")</f>
        <v>11</v>
      </c>
    </row>
    <row r="15" spans="1:17" x14ac:dyDescent="0.3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P15" s="30"/>
      <c r="Q15" s="35"/>
    </row>
    <row r="16" spans="1:17" x14ac:dyDescent="0.3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P16" s="32" t="s">
        <v>153</v>
      </c>
      <c r="Q16" s="34" t="s">
        <v>147</v>
      </c>
    </row>
    <row r="17" spans="1:17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P17" s="33">
        <f>EOMONTH(MAX(Table2[Date Applied]),ROW()-23)+1</f>
        <v>46082</v>
      </c>
      <c r="Q17" s="35">
        <f>COUNTIFS(Table2[Date Applied],"&gt;="&amp;$P17,Table2[Date Applied],"&lt;="&amp;EOMONTH($P17,0))</f>
        <v>8</v>
      </c>
    </row>
    <row r="18" spans="1:17" x14ac:dyDescent="0.3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P18" s="33">
        <f>EOMONTH(MAX(Table2[Date Applied]),ROW()-23)+1</f>
        <v>46113</v>
      </c>
      <c r="Q18" s="35">
        <f>COUNTIFS(Table2[Date Applied],"&gt;="&amp;$P18,Table2[Date Applied],"&lt;="&amp;EOMONTH($P18,0))</f>
        <v>7</v>
      </c>
    </row>
    <row r="19" spans="1:17" x14ac:dyDescent="0.3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P19" s="33">
        <f>EOMONTH(MAX(Table2[Date Applied]),ROW()-23)+1</f>
        <v>46143</v>
      </c>
      <c r="Q19" s="35">
        <f>COUNTIFS(Table2[Date Applied],"&gt;="&amp;$P19,Table2[Date Applied],"&lt;="&amp;EOMONTH($P19,0))</f>
        <v>7</v>
      </c>
    </row>
    <row r="20" spans="1:17" x14ac:dyDescent="0.3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P20" s="33">
        <f>EOMONTH(MAX(Table2[Date Applied]),ROW()-23)+1</f>
        <v>46174</v>
      </c>
      <c r="Q20" s="35">
        <f>COUNTIFS(Table2[Date Applied],"&gt;="&amp;$P20,Table2[Date Applied],"&lt;="&amp;EOMONTH($P20,0))</f>
        <v>6</v>
      </c>
    </row>
    <row r="21" spans="1:17" x14ac:dyDescent="0.3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P21" s="33">
        <f>EOMONTH(MAX(Table2[Date Applied]),ROW()-23)+1</f>
        <v>46204</v>
      </c>
      <c r="Q21" s="35">
        <f>COUNTIFS(Table2[Date Applied],"&gt;="&amp;$P21,Table2[Date Applied],"&lt;="&amp;EOMONTH($P21,0))</f>
        <v>4</v>
      </c>
    </row>
    <row r="22" spans="1:17" x14ac:dyDescent="0.3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P22" s="33">
        <f>EOMONTH(MAX(Table2[Date Applied]),ROW()-23)+1</f>
        <v>46235</v>
      </c>
      <c r="Q22" s="35">
        <f>COUNTIFS(Table2[Date Applied],"&gt;="&amp;$P22,Table2[Date Applied],"&lt;="&amp;EOMONTH($P22,0))</f>
        <v>1</v>
      </c>
    </row>
    <row r="23" spans="1:17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P23" s="30"/>
      <c r="Q23" s="35"/>
    </row>
    <row r="24" spans="1:17" x14ac:dyDescent="0.3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P24" s="32" t="s">
        <v>3</v>
      </c>
      <c r="Q24" s="34" t="s">
        <v>147</v>
      </c>
    </row>
    <row r="25" spans="1:17" x14ac:dyDescent="0.3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P25" s="30" t="s">
        <v>26</v>
      </c>
      <c r="Q25" s="35">
        <f>COUNTIF(Table2[Location],$P25)</f>
        <v>5</v>
      </c>
    </row>
    <row r="26" spans="1:17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P26" s="30" t="s">
        <v>34</v>
      </c>
      <c r="Q26" s="35">
        <f>COUNTIF(Table2[Location],$P26)</f>
        <v>4</v>
      </c>
    </row>
    <row r="27" spans="1:17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P27" s="30" t="s">
        <v>60</v>
      </c>
      <c r="Q27" s="35">
        <f>COUNTIF(Table2[Location],$P27)</f>
        <v>5</v>
      </c>
    </row>
    <row r="28" spans="1:17" x14ac:dyDescent="0.3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P28" s="30" t="s">
        <v>51</v>
      </c>
      <c r="Q28" s="35">
        <f>COUNTIF(Table2[Location],$P28)</f>
        <v>4</v>
      </c>
    </row>
    <row r="29" spans="1:17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P29" s="30" t="s">
        <v>70</v>
      </c>
      <c r="Q29" s="35">
        <f>COUNTIF(Table2[Location],$P29)</f>
        <v>4</v>
      </c>
    </row>
    <row r="30" spans="1:17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P30" s="30" t="s">
        <v>39</v>
      </c>
      <c r="Q30" s="35">
        <f>COUNTIF(Table2[Location],$P30)</f>
        <v>4</v>
      </c>
    </row>
    <row r="31" spans="1:17" x14ac:dyDescent="0.3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P31" s="30" t="s">
        <v>46</v>
      </c>
      <c r="Q31" s="35">
        <f>COUNTIF(Table2[Location],$P31)</f>
        <v>5</v>
      </c>
    </row>
    <row r="32" spans="1:17" x14ac:dyDescent="0.3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P32" s="30" t="s">
        <v>119</v>
      </c>
      <c r="Q32" s="35">
        <f>COUNTIF(Table2[Location],$P32)</f>
        <v>1</v>
      </c>
    </row>
    <row r="33" spans="1:17" x14ac:dyDescent="0.3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P33" s="30" t="s">
        <v>172</v>
      </c>
      <c r="Q33" s="35">
        <f>COUNTIF(Table2[Location],$P33)</f>
        <v>1</v>
      </c>
    </row>
    <row r="34" spans="1:17" x14ac:dyDescent="0.3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P34" s="55" t="s">
        <v>173</v>
      </c>
      <c r="Q34" s="35">
        <f>COUNTA(Table2[Company])-SUM($Q$25:$Q$33)</f>
        <v>0</v>
      </c>
    </row>
    <row r="35" spans="1:17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P35" s="32" t="s">
        <v>154</v>
      </c>
      <c r="Q35" s="34" t="s">
        <v>155</v>
      </c>
    </row>
    <row r="36" spans="1:17" x14ac:dyDescent="0.3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P36" s="30" t="s">
        <v>156</v>
      </c>
      <c r="Q36" s="35" cm="1">
        <f t="array" ref="Q36">SUMPRODUCT(--ISNUMBER(SEARCH(","&amp;$P36&amp;",",","&amp;SUBSTITUTE(Table2[Key Skills],", ",",")&amp;",")))</f>
        <v>24</v>
      </c>
    </row>
    <row r="37" spans="1:17" x14ac:dyDescent="0.3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P37" s="30" t="s">
        <v>157</v>
      </c>
      <c r="Q37" s="35" cm="1">
        <f t="array" ref="Q37">SUMPRODUCT(--ISNUMBER(SEARCH(","&amp;$P37&amp;",",","&amp;SUBSTITUTE(Table2[Key Skills],", ",",")&amp;",")))</f>
        <v>24</v>
      </c>
    </row>
    <row r="38" spans="1:17" x14ac:dyDescent="0.3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P38" s="30" t="s">
        <v>158</v>
      </c>
      <c r="Q38" s="35" cm="1">
        <f t="array" ref="Q38">SUMPRODUCT(--ISNUMBER(SEARCH(","&amp;$P38&amp;",",","&amp;SUBSTITUTE(Table2[Key Skills],", ",",")&amp;",")))</f>
        <v>9</v>
      </c>
    </row>
    <row r="39" spans="1:17" x14ac:dyDescent="0.3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P39" s="30" t="s">
        <v>159</v>
      </c>
      <c r="Q39" s="35" cm="1">
        <f t="array" ref="Q39">SUMPRODUCT(--ISNUMBER(SEARCH(","&amp;$P39&amp;",",","&amp;SUBSTITUTE(Table2[Key Skills],", ",",")&amp;",")))</f>
        <v>8</v>
      </c>
    </row>
    <row r="40" spans="1:17" x14ac:dyDescent="0.3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P40" s="30" t="s">
        <v>160</v>
      </c>
      <c r="Q40" s="35" cm="1">
        <f t="array" ref="Q40">SUMPRODUCT(--ISNUMBER(SEARCH(","&amp;$P40&amp;",",","&amp;SUBSTITUTE(Table2[Key Skills],", ",",")&amp;",")))</f>
        <v>6</v>
      </c>
    </row>
    <row r="41" spans="1:17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P41" s="30" t="s">
        <v>161</v>
      </c>
      <c r="Q41" s="35" cm="1">
        <f t="array" ref="Q41">SUMPRODUCT(--ISNUMBER(SEARCH(","&amp;$P41&amp;",",","&amp;SUBSTITUTE(Table2[Key Skills],", ",",")&amp;",")))</f>
        <v>5</v>
      </c>
    </row>
    <row r="42" spans="1:17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P42" s="30" t="s">
        <v>162</v>
      </c>
      <c r="Q42" s="35" cm="1">
        <f t="array" ref="Q42">SUMPRODUCT(--ISNUMBER(SEARCH(","&amp;$P42&amp;",",","&amp;SUBSTITUTE(Table2[Key Skills],", ",",")&amp;",")))</f>
        <v>4</v>
      </c>
    </row>
    <row r="43" spans="1:17" x14ac:dyDescent="0.3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P43" s="30" t="s">
        <v>163</v>
      </c>
      <c r="Q43" s="35" cm="1">
        <f t="array" ref="Q43">SUMPRODUCT(--ISNUMBER(SEARCH(","&amp;$P43&amp;",",","&amp;SUBSTITUTE(Table2[Key Skills],", ",",")&amp;",")))</f>
        <v>5</v>
      </c>
    </row>
    <row r="44" spans="1:17" x14ac:dyDescent="0.3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P44" s="30" t="s">
        <v>164</v>
      </c>
      <c r="Q44" s="35" cm="1">
        <f t="array" ref="Q44">SUMPRODUCT(--ISNUMBER(SEARCH(","&amp;$P44&amp;",",","&amp;SUBSTITUTE(Table2[Key Skills],", ",",")&amp;",")))</f>
        <v>7</v>
      </c>
    </row>
    <row r="45" spans="1:17" x14ac:dyDescent="0.3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P45" s="55" t="s">
        <v>173</v>
      </c>
      <c r="Q45" s="35" cm="1">
        <f t="array" ref="Q45">SUMPRODUCT((Table2[Key Skills]&lt;&gt;"")*(LEN(Table2[Key Skills])-LEN(SUBSTITUTE(Table2[Key Skills],",",""))+1))-SUM($Q$36:$Q$44)</f>
        <v>0</v>
      </c>
    </row>
    <row r="46" spans="1:17" x14ac:dyDescent="0.3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7" x14ac:dyDescent="0.3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7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x14ac:dyDescent="0.3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x14ac:dyDescent="0.3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x14ac:dyDescent="0.3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x14ac:dyDescent="0.3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x14ac:dyDescent="0.3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x14ac:dyDescent="0.3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spans="1:14" x14ac:dyDescent="0.3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spans="1:14" x14ac:dyDescent="0.3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spans="1:14" x14ac:dyDescent="0.3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1:14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</row>
  </sheetData>
  <conditionalFormatting sqref="Q34">
    <cfRule type="cellIs" dxfId="14" priority="1" operator="greaterThan">
      <formula>0</formula>
    </cfRule>
  </conditionalFormatting>
  <conditionalFormatting sqref="Q45">
    <cfRule type="cellIs" dxfId="13" priority="2" operator="greaterThan">
      <formula>0</formula>
    </cfRule>
  </conditionalFormatting>
  <pageMargins left="0.7" right="0.7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Job Tracker</vt:lpstr>
      <vt:lpstr>Summary</vt:lpstr>
      <vt:lpstr>'Job Tracker'!Print_Area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Nguyen</dc:creator>
  <cp:lastModifiedBy>Trinh Nguyen</cp:lastModifiedBy>
  <cp:lastPrinted>2026-08-05T06:15:04Z</cp:lastPrinted>
  <dcterms:created xsi:type="dcterms:W3CDTF">2026-08-04T09:52:28Z</dcterms:created>
  <dcterms:modified xsi:type="dcterms:W3CDTF">2026-08-05T06:17:02Z</dcterms:modified>
</cp:coreProperties>
</file>